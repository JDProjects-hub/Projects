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9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yde\Documents\Learnings\Projects\Financial Modeling\L&amp;T\"/>
    </mc:Choice>
  </mc:AlternateContent>
  <xr:revisionPtr revIDLastSave="0" documentId="13_ncr:1_{5C3984F1-2ECF-43C2-B6F9-0BAD06B8F89C}" xr6:coauthVersionLast="47" xr6:coauthVersionMax="47" xr10:uidLastSave="{00000000-0000-0000-0000-000000000000}"/>
  <bookViews>
    <workbookView xWindow="-120" yWindow="-120" windowWidth="20730" windowHeight="11040" tabRatio="936" xr2:uid="{00000000-000D-0000-FFFF-FFFF00000000}"/>
  </bookViews>
  <sheets>
    <sheet name="Main" sheetId="46" r:id="rId1"/>
    <sheet name="1. Assumptions--&gt;" sheetId="39" state="hidden" r:id="rId2"/>
    <sheet name="P&amp;L assumptions" sheetId="13" state="hidden" r:id="rId3"/>
    <sheet name="BS assumptions" sheetId="21" state="hidden" r:id="rId4"/>
    <sheet name="DCF_WACC assumptions" sheetId="45" state="hidden" r:id="rId5"/>
    <sheet name="2.Output--&gt;" sheetId="20" r:id="rId6"/>
    <sheet name="P&amp;L" sheetId="14" r:id="rId7"/>
    <sheet name="Balance Sheet" sheetId="22" r:id="rId8"/>
    <sheet name="Unlevered Cash Flow" sheetId="26" r:id="rId9"/>
    <sheet name="Cash Flow Statement" sheetId="40" r:id="rId10"/>
    <sheet name="DCF valuation" sheetId="27" r:id="rId11"/>
    <sheet name="Ratios" sheetId="41" r:id="rId12"/>
    <sheet name="3.Charts --&gt;" sheetId="28" r:id="rId13"/>
    <sheet name="Profitability" sheetId="29" r:id="rId14"/>
    <sheet name="EBITDA Bridge" sheetId="30" r:id="rId15"/>
    <sheet name="Cash Flows" sheetId="31" r:id="rId16"/>
    <sheet name="Working Capital" sheetId="32" r:id="rId17"/>
    <sheet name="DCF results" sheetId="33" r:id="rId18"/>
    <sheet name="4.Sources --&gt;" sheetId="19" state="hidden" r:id="rId19"/>
    <sheet name="P&amp;L source" sheetId="12" state="hidden" r:id="rId20"/>
    <sheet name="Fixed assets roll forward" sheetId="23" state="hidden" r:id="rId21"/>
    <sheet name="Financial Liabilities" sheetId="25" state="hidden" r:id="rId22"/>
    <sheet name="Equity &amp; Reserves schedule" sheetId="24" state="hidden" r:id="rId23"/>
    <sheet name="5.Input --&gt;" sheetId="15" state="hidden" r:id="rId24"/>
    <sheet name="P&amp;L_L&amp;T" sheetId="43" state="hidden" r:id="rId25"/>
    <sheet name="BS_L&amp;T" sheetId="44" state="hidden" r:id="rId26"/>
  </sheets>
  <definedNames>
    <definedName name="_xlchart.v1.0" hidden="1">'EBITDA Bridge'!$B$13:$B$17</definedName>
    <definedName name="_xlchart.v1.1" hidden="1">'EBITDA Bridge'!$C$13:$C$17</definedName>
    <definedName name="_xlchart.v1.2" hidden="1">'Cash Flows'!$B$15:$B$19</definedName>
    <definedName name="_xlchart.v1.3" hidden="1">'Cash Flows'!$C$15:$C$19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1" i="13" l="1"/>
  <c r="G25" i="13"/>
  <c r="D7" i="32"/>
  <c r="C7" i="32"/>
  <c r="E6" i="32"/>
  <c r="D6" i="32"/>
  <c r="C6" i="32"/>
  <c r="D5" i="32"/>
  <c r="C5" i="32"/>
  <c r="G48" i="31"/>
  <c r="F48" i="31"/>
  <c r="E48" i="31"/>
  <c r="D48" i="31"/>
  <c r="D12" i="31"/>
  <c r="D11" i="31"/>
  <c r="E10" i="31"/>
  <c r="D10" i="31"/>
  <c r="D9" i="31"/>
  <c r="E8" i="31"/>
  <c r="D8" i="31"/>
  <c r="C12" i="31"/>
  <c r="C11" i="31"/>
  <c r="C10" i="31"/>
  <c r="C9" i="31"/>
  <c r="C8" i="31"/>
  <c r="J7" i="31"/>
  <c r="I7" i="31"/>
  <c r="H7" i="31"/>
  <c r="G7" i="31"/>
  <c r="F7" i="31"/>
  <c r="E7" i="31"/>
  <c r="D7" i="31"/>
  <c r="C7" i="31"/>
  <c r="M15" i="31"/>
  <c r="N15" i="31"/>
  <c r="E16" i="41"/>
  <c r="D16" i="41"/>
  <c r="E15" i="41"/>
  <c r="E14" i="41"/>
  <c r="E13" i="41"/>
  <c r="E12" i="41"/>
  <c r="E9" i="41"/>
  <c r="D9" i="41"/>
  <c r="D12" i="41"/>
  <c r="E11" i="41"/>
  <c r="E10" i="41"/>
  <c r="F8" i="41"/>
  <c r="E8" i="41"/>
  <c r="D8" i="41"/>
  <c r="E7" i="41"/>
  <c r="D7" i="41"/>
  <c r="E6" i="41"/>
  <c r="D6" i="41"/>
  <c r="E5" i="41"/>
  <c r="E4" i="41"/>
  <c r="C17" i="27"/>
  <c r="D14" i="45"/>
  <c r="D13" i="45"/>
  <c r="D15" i="45" s="1"/>
  <c r="D7" i="45"/>
  <c r="E9" i="22"/>
  <c r="D9" i="22"/>
  <c r="F28" i="26"/>
  <c r="E28" i="26"/>
  <c r="F15" i="26"/>
  <c r="E15" i="26"/>
  <c r="D15" i="26"/>
  <c r="E20" i="26"/>
  <c r="D20" i="26"/>
  <c r="F19" i="26"/>
  <c r="E19" i="26"/>
  <c r="D19" i="26"/>
  <c r="E7" i="26"/>
  <c r="E5" i="26"/>
  <c r="D7" i="26"/>
  <c r="D5" i="26"/>
  <c r="F17" i="26"/>
  <c r="E17" i="26"/>
  <c r="D17" i="26"/>
  <c r="F22" i="40"/>
  <c r="E22" i="40"/>
  <c r="D22" i="40"/>
  <c r="F6" i="23"/>
  <c r="E6" i="23"/>
  <c r="D6" i="23"/>
  <c r="F7" i="23"/>
  <c r="E7" i="23"/>
  <c r="D7" i="23"/>
  <c r="F35" i="40"/>
  <c r="E35" i="40"/>
  <c r="D35" i="40"/>
  <c r="E31" i="40"/>
  <c r="E30" i="40"/>
  <c r="D25" i="26"/>
  <c r="D30" i="40"/>
  <c r="F28" i="40"/>
  <c r="E28" i="40"/>
  <c r="D28" i="40"/>
  <c r="F27" i="40"/>
  <c r="E27" i="40"/>
  <c r="D27" i="40"/>
  <c r="E29" i="40"/>
  <c r="D29" i="40"/>
  <c r="D31" i="40" s="1"/>
  <c r="K23" i="40"/>
  <c r="J23" i="40"/>
  <c r="I23" i="40"/>
  <c r="H23" i="40"/>
  <c r="G23" i="40"/>
  <c r="F23" i="40"/>
  <c r="E23" i="40"/>
  <c r="D23" i="40"/>
  <c r="F24" i="40"/>
  <c r="E24" i="40"/>
  <c r="E33" i="40" s="1"/>
  <c r="D24" i="40"/>
  <c r="F14" i="40"/>
  <c r="E14" i="40"/>
  <c r="D14" i="40"/>
  <c r="F18" i="40"/>
  <c r="E18" i="40"/>
  <c r="D18" i="40"/>
  <c r="F17" i="40"/>
  <c r="E17" i="40"/>
  <c r="D17" i="40"/>
  <c r="F16" i="40"/>
  <c r="E16" i="40"/>
  <c r="D16" i="40"/>
  <c r="F13" i="40"/>
  <c r="E13" i="40"/>
  <c r="D13" i="40"/>
  <c r="F12" i="40"/>
  <c r="E12" i="40"/>
  <c r="D12" i="40"/>
  <c r="F9" i="40"/>
  <c r="E9" i="40"/>
  <c r="D9" i="40"/>
  <c r="F8" i="40"/>
  <c r="E8" i="40"/>
  <c r="D8" i="40"/>
  <c r="F7" i="40"/>
  <c r="E7" i="40"/>
  <c r="D7" i="40"/>
  <c r="E5" i="40"/>
  <c r="E19" i="40" s="1"/>
  <c r="D5" i="40"/>
  <c r="E31" i="26"/>
  <c r="D31" i="26"/>
  <c r="D28" i="26"/>
  <c r="E25" i="26"/>
  <c r="D24" i="26"/>
  <c r="E24" i="26"/>
  <c r="F23" i="26"/>
  <c r="E23" i="26"/>
  <c r="D23" i="26"/>
  <c r="F22" i="26"/>
  <c r="E22" i="26"/>
  <c r="D22" i="26"/>
  <c r="K21" i="26"/>
  <c r="J21" i="26"/>
  <c r="I21" i="26"/>
  <c r="H21" i="26"/>
  <c r="G21" i="26"/>
  <c r="F21" i="26"/>
  <c r="E21" i="26"/>
  <c r="D21" i="26"/>
  <c r="F14" i="26"/>
  <c r="F16" i="26" s="1"/>
  <c r="E14" i="26"/>
  <c r="E16" i="26" s="1"/>
  <c r="D14" i="26"/>
  <c r="D16" i="26" s="1"/>
  <c r="F12" i="26"/>
  <c r="E12" i="26"/>
  <c r="D12" i="26"/>
  <c r="F11" i="26"/>
  <c r="E11" i="26"/>
  <c r="D11" i="26"/>
  <c r="F10" i="26"/>
  <c r="F13" i="26" s="1"/>
  <c r="E10" i="26"/>
  <c r="E13" i="26" s="1"/>
  <c r="D10" i="26"/>
  <c r="F8" i="26"/>
  <c r="E8" i="26"/>
  <c r="D8" i="26"/>
  <c r="E6" i="26"/>
  <c r="D6" i="26"/>
  <c r="E4" i="26"/>
  <c r="D4" i="26"/>
  <c r="H40" i="21"/>
  <c r="I40" i="21"/>
  <c r="J40" i="21"/>
  <c r="K40" i="21"/>
  <c r="G40" i="21"/>
  <c r="F39" i="21"/>
  <c r="E39" i="21"/>
  <c r="D39" i="21"/>
  <c r="G16" i="21"/>
  <c r="H16" i="21"/>
  <c r="I16" i="21"/>
  <c r="J16" i="21"/>
  <c r="K16" i="21"/>
  <c r="F40" i="21"/>
  <c r="E40" i="21"/>
  <c r="F36" i="21"/>
  <c r="E36" i="21"/>
  <c r="D36" i="21"/>
  <c r="F37" i="21"/>
  <c r="E37" i="21"/>
  <c r="H26" i="22"/>
  <c r="I26" i="22" s="1"/>
  <c r="G26" i="22"/>
  <c r="G17" i="24"/>
  <c r="E18" i="24"/>
  <c r="D18" i="24"/>
  <c r="F20" i="24"/>
  <c r="E20" i="24"/>
  <c r="D20" i="24"/>
  <c r="E19" i="24"/>
  <c r="D19" i="24"/>
  <c r="F17" i="24"/>
  <c r="E17" i="24"/>
  <c r="D17" i="24"/>
  <c r="F9" i="24"/>
  <c r="E9" i="24"/>
  <c r="F5" i="24"/>
  <c r="E5" i="24"/>
  <c r="D8" i="24"/>
  <c r="E7" i="24"/>
  <c r="D7" i="24"/>
  <c r="D9" i="24"/>
  <c r="D5" i="24"/>
  <c r="D6" i="24" s="1"/>
  <c r="H25" i="22"/>
  <c r="I25" i="22"/>
  <c r="J25" i="22"/>
  <c r="K25" i="22"/>
  <c r="G25" i="22"/>
  <c r="F8" i="25"/>
  <c r="E8" i="25"/>
  <c r="D8" i="25"/>
  <c r="D5" i="25"/>
  <c r="F33" i="21"/>
  <c r="E33" i="21"/>
  <c r="D33" i="21"/>
  <c r="F34" i="21"/>
  <c r="E34" i="21"/>
  <c r="F30" i="21"/>
  <c r="E30" i="21"/>
  <c r="D30" i="21"/>
  <c r="F31" i="21"/>
  <c r="E31" i="21"/>
  <c r="D31" i="21"/>
  <c r="F27" i="21"/>
  <c r="E27" i="21"/>
  <c r="D27" i="21"/>
  <c r="F28" i="21"/>
  <c r="E28" i="21"/>
  <c r="D28" i="21"/>
  <c r="F24" i="21"/>
  <c r="F15" i="22" s="1"/>
  <c r="F16" i="22" s="1"/>
  <c r="E24" i="21"/>
  <c r="E15" i="22" s="1"/>
  <c r="E16" i="22" s="1"/>
  <c r="D24" i="21"/>
  <c r="F14" i="22"/>
  <c r="E14" i="22"/>
  <c r="D14" i="22"/>
  <c r="F8" i="23"/>
  <c r="E8" i="23"/>
  <c r="F5" i="23" s="1"/>
  <c r="D8" i="23"/>
  <c r="D5" i="23"/>
  <c r="F21" i="21"/>
  <c r="E21" i="21"/>
  <c r="D21" i="21"/>
  <c r="F22" i="21"/>
  <c r="E22" i="21"/>
  <c r="D22" i="21"/>
  <c r="F18" i="21"/>
  <c r="E18" i="21"/>
  <c r="D18" i="21"/>
  <c r="F15" i="21"/>
  <c r="E15" i="21"/>
  <c r="D15" i="21"/>
  <c r="F31" i="22"/>
  <c r="E31" i="22"/>
  <c r="D31" i="22"/>
  <c r="F30" i="22"/>
  <c r="F32" i="22" s="1"/>
  <c r="E30" i="22"/>
  <c r="E32" i="22" s="1"/>
  <c r="D30" i="22"/>
  <c r="F28" i="22"/>
  <c r="E28" i="22"/>
  <c r="D28" i="22"/>
  <c r="F27" i="22"/>
  <c r="E27" i="22"/>
  <c r="D27" i="22"/>
  <c r="F26" i="22"/>
  <c r="E26" i="22"/>
  <c r="D26" i="22"/>
  <c r="F25" i="22"/>
  <c r="F29" i="22" s="1"/>
  <c r="E25" i="22"/>
  <c r="E29" i="22" s="1"/>
  <c r="D25" i="22"/>
  <c r="D29" i="22" s="1"/>
  <c r="F22" i="22"/>
  <c r="E22" i="22"/>
  <c r="D22" i="22"/>
  <c r="F21" i="22"/>
  <c r="E21" i="22"/>
  <c r="D21" i="22"/>
  <c r="F20" i="22"/>
  <c r="E20" i="22"/>
  <c r="D20" i="22"/>
  <c r="F19" i="22"/>
  <c r="F23" i="22" s="1"/>
  <c r="F33" i="22" s="1"/>
  <c r="E19" i="22"/>
  <c r="E23" i="22" s="1"/>
  <c r="E33" i="22" s="1"/>
  <c r="D19" i="22"/>
  <c r="D23" i="22" s="1"/>
  <c r="F11" i="22"/>
  <c r="E11" i="22"/>
  <c r="D11" i="22"/>
  <c r="F10" i="22"/>
  <c r="E10" i="22"/>
  <c r="D10" i="22"/>
  <c r="F8" i="22"/>
  <c r="E8" i="22"/>
  <c r="D8" i="22"/>
  <c r="F7" i="22"/>
  <c r="E7" i="22"/>
  <c r="D7" i="22"/>
  <c r="F6" i="22"/>
  <c r="E6" i="22"/>
  <c r="E12" i="22" s="1"/>
  <c r="D6" i="22"/>
  <c r="D12" i="22" s="1"/>
  <c r="G11" i="13"/>
  <c r="E16" i="14"/>
  <c r="D16" i="14"/>
  <c r="E14" i="14"/>
  <c r="D14" i="14"/>
  <c r="E22" i="12"/>
  <c r="D22" i="12"/>
  <c r="E13" i="12"/>
  <c r="D13" i="12"/>
  <c r="F17" i="12"/>
  <c r="E17" i="12"/>
  <c r="D17" i="12"/>
  <c r="F11" i="21"/>
  <c r="E11" i="21"/>
  <c r="D11" i="21"/>
  <c r="F8" i="21"/>
  <c r="E8" i="21"/>
  <c r="D8" i="21"/>
  <c r="F5" i="21"/>
  <c r="E5" i="21"/>
  <c r="D5" i="21"/>
  <c r="H44" i="13"/>
  <c r="H37" i="13"/>
  <c r="I37" i="13" s="1"/>
  <c r="J37" i="13" s="1"/>
  <c r="K37" i="13" s="1"/>
  <c r="H38" i="13"/>
  <c r="I38" i="13" s="1"/>
  <c r="J38" i="13" s="1"/>
  <c r="K38" i="13" s="1"/>
  <c r="H36" i="13"/>
  <c r="I36" i="13" s="1"/>
  <c r="J36" i="13" s="1"/>
  <c r="K36" i="13" s="1"/>
  <c r="H31" i="13"/>
  <c r="I31" i="13" s="1"/>
  <c r="J31" i="13" s="1"/>
  <c r="K31" i="13" s="1"/>
  <c r="H32" i="13"/>
  <c r="I32" i="13" s="1"/>
  <c r="J32" i="13" s="1"/>
  <c r="K32" i="13" s="1"/>
  <c r="H30" i="13"/>
  <c r="I30" i="13" s="1"/>
  <c r="J30" i="13" s="1"/>
  <c r="K30" i="13" s="1"/>
  <c r="H25" i="13"/>
  <c r="I25" i="13" s="1"/>
  <c r="J25" i="13" s="1"/>
  <c r="K25" i="13" s="1"/>
  <c r="H26" i="13"/>
  <c r="I26" i="13" s="1"/>
  <c r="J26" i="13" s="1"/>
  <c r="K26" i="13" s="1"/>
  <c r="H24" i="13"/>
  <c r="I24" i="13" s="1"/>
  <c r="J24" i="13" s="1"/>
  <c r="K24" i="13" s="1"/>
  <c r="H19" i="13"/>
  <c r="I19" i="13" s="1"/>
  <c r="J19" i="13" s="1"/>
  <c r="K19" i="13" s="1"/>
  <c r="H20" i="13"/>
  <c r="I20" i="13" s="1"/>
  <c r="J20" i="13" s="1"/>
  <c r="K20" i="13" s="1"/>
  <c r="H18" i="13"/>
  <c r="I18" i="13" s="1"/>
  <c r="H17" i="13"/>
  <c r="H14" i="13"/>
  <c r="I14" i="13" s="1"/>
  <c r="J14" i="13" s="1"/>
  <c r="K14" i="13" s="1"/>
  <c r="H13" i="13"/>
  <c r="I13" i="13" s="1"/>
  <c r="J13" i="13" s="1"/>
  <c r="K13" i="13" s="1"/>
  <c r="H12" i="13"/>
  <c r="I12" i="13" s="1"/>
  <c r="J12" i="13" s="1"/>
  <c r="K12" i="13" s="1"/>
  <c r="F23" i="12"/>
  <c r="E23" i="12"/>
  <c r="D23" i="12"/>
  <c r="F21" i="12"/>
  <c r="E21" i="12"/>
  <c r="D21" i="12"/>
  <c r="F19" i="12"/>
  <c r="E19" i="12"/>
  <c r="D19" i="12"/>
  <c r="F16" i="12"/>
  <c r="F13" i="12" s="1"/>
  <c r="E16" i="12"/>
  <c r="D16" i="12"/>
  <c r="D15" i="12"/>
  <c r="E15" i="12"/>
  <c r="F15" i="12"/>
  <c r="F14" i="12"/>
  <c r="E14" i="12"/>
  <c r="D14" i="12"/>
  <c r="F11" i="12"/>
  <c r="E11" i="12"/>
  <c r="D11" i="12"/>
  <c r="F10" i="12"/>
  <c r="E10" i="12"/>
  <c r="D10" i="12"/>
  <c r="F9" i="12"/>
  <c r="F8" i="12" s="1"/>
  <c r="E9" i="12"/>
  <c r="E8" i="12" s="1"/>
  <c r="D9" i="12"/>
  <c r="D8" i="12" s="1"/>
  <c r="F6" i="12"/>
  <c r="E6" i="12"/>
  <c r="D6" i="12"/>
  <c r="F5" i="12"/>
  <c r="E5" i="12"/>
  <c r="D5" i="12"/>
  <c r="F25" i="21" l="1"/>
  <c r="E25" i="21"/>
  <c r="G31" i="21"/>
  <c r="H28" i="21"/>
  <c r="I28" i="21"/>
  <c r="J28" i="21"/>
  <c r="K28" i="21"/>
  <c r="G28" i="21"/>
  <c r="D15" i="22"/>
  <c r="D16" i="22" s="1"/>
  <c r="G24" i="21"/>
  <c r="D40" i="21"/>
  <c r="D37" i="21"/>
  <c r="J26" i="22"/>
  <c r="D34" i="21"/>
  <c r="H22" i="21"/>
  <c r="I22" i="21"/>
  <c r="J22" i="21"/>
  <c r="K22" i="21"/>
  <c r="G22" i="21"/>
  <c r="D32" i="22"/>
  <c r="D33" i="22" s="1"/>
  <c r="D10" i="23"/>
  <c r="E5" i="23"/>
  <c r="I17" i="13"/>
  <c r="J18" i="13"/>
  <c r="K18" i="13"/>
  <c r="K17" i="13" s="1"/>
  <c r="J17" i="13"/>
  <c r="M8" i="31"/>
  <c r="C5" i="31" s="1"/>
  <c r="M9" i="31"/>
  <c r="N9" i="31" s="1"/>
  <c r="M10" i="31"/>
  <c r="N10" i="31" s="1"/>
  <c r="M11" i="31"/>
  <c r="N11" i="31" s="1"/>
  <c r="M12" i="31"/>
  <c r="N12" i="31" s="1"/>
  <c r="M13" i="31"/>
  <c r="N13" i="31" s="1"/>
  <c r="M14" i="31"/>
  <c r="N14" i="31" s="1"/>
  <c r="E9" i="26" l="1"/>
  <c r="E18" i="26" s="1"/>
  <c r="G15" i="22"/>
  <c r="G25" i="21"/>
  <c r="H24" i="21" s="1"/>
  <c r="H31" i="21"/>
  <c r="I31" i="21"/>
  <c r="J31" i="21"/>
  <c r="K31" i="21"/>
  <c r="G37" i="21"/>
  <c r="G34" i="21"/>
  <c r="K26" i="22"/>
  <c r="N8" i="31"/>
  <c r="B19" i="31"/>
  <c r="H4" i="32"/>
  <c r="I4" i="32"/>
  <c r="J4" i="32"/>
  <c r="K4" i="32"/>
  <c r="G4" i="32"/>
  <c r="E4" i="32"/>
  <c r="D4" i="32"/>
  <c r="C4" i="32"/>
  <c r="C48" i="31"/>
  <c r="N8" i="30"/>
  <c r="O7" i="30" s="1"/>
  <c r="N9" i="30"/>
  <c r="O8" i="30" s="1"/>
  <c r="N10" i="30"/>
  <c r="O9" i="30" s="1"/>
  <c r="N11" i="30"/>
  <c r="O10" i="30" s="1"/>
  <c r="N12" i="30"/>
  <c r="O11" i="30" s="1"/>
  <c r="N13" i="30"/>
  <c r="O12" i="30" s="1"/>
  <c r="N14" i="30"/>
  <c r="O13" i="30" s="1"/>
  <c r="N7" i="30"/>
  <c r="J6" i="30"/>
  <c r="I6" i="30"/>
  <c r="H6" i="30"/>
  <c r="G6" i="30"/>
  <c r="F6" i="30"/>
  <c r="E6" i="30"/>
  <c r="D6" i="30"/>
  <c r="C6" i="30"/>
  <c r="H3" i="29"/>
  <c r="I3" i="29"/>
  <c r="J3" i="29"/>
  <c r="K3" i="29"/>
  <c r="G3" i="29"/>
  <c r="D3" i="29"/>
  <c r="E3" i="29"/>
  <c r="C3" i="29"/>
  <c r="G11" i="24"/>
  <c r="H11" i="24" s="1"/>
  <c r="I11" i="24" s="1"/>
  <c r="J11" i="24" s="1"/>
  <c r="K11" i="24" s="1"/>
  <c r="E26" i="26" l="1"/>
  <c r="H25" i="21"/>
  <c r="I24" i="21" s="1"/>
  <c r="H15" i="22"/>
  <c r="H37" i="21"/>
  <c r="I37" i="21"/>
  <c r="J37" i="21"/>
  <c r="K37" i="21"/>
  <c r="H34" i="21"/>
  <c r="I34" i="21"/>
  <c r="J34" i="21"/>
  <c r="K34" i="21"/>
  <c r="E5" i="25"/>
  <c r="F5" i="25"/>
  <c r="B17" i="30"/>
  <c r="C4" i="30"/>
  <c r="C3" i="30"/>
  <c r="G5" i="23"/>
  <c r="G5" i="24"/>
  <c r="I15" i="22" l="1"/>
  <c r="I25" i="21"/>
  <c r="J24" i="21" s="1"/>
  <c r="E17" i="22"/>
  <c r="D5" i="41"/>
  <c r="D4" i="41"/>
  <c r="E35" i="22"/>
  <c r="D17" i="22"/>
  <c r="G5" i="25"/>
  <c r="C16" i="25"/>
  <c r="C12" i="25"/>
  <c r="D13" i="26"/>
  <c r="J25" i="21" l="1"/>
  <c r="K24" i="21" s="1"/>
  <c r="J15" i="22"/>
  <c r="D35" i="22"/>
  <c r="D15" i="25"/>
  <c r="E15" i="25"/>
  <c r="F15" i="25"/>
  <c r="G15" i="25"/>
  <c r="H15" i="25"/>
  <c r="I15" i="25"/>
  <c r="J15" i="25"/>
  <c r="K15" i="25"/>
  <c r="L15" i="25"/>
  <c r="C15" i="25"/>
  <c r="C17" i="25" s="1"/>
  <c r="K15" i="22" l="1"/>
  <c r="K25" i="21"/>
  <c r="G7" i="25"/>
  <c r="C18" i="25"/>
  <c r="G8" i="25" l="1"/>
  <c r="D16" i="25"/>
  <c r="D17" i="25" s="1"/>
  <c r="H7" i="25" l="1"/>
  <c r="D18" i="25"/>
  <c r="G6" i="25"/>
  <c r="H5" i="25"/>
  <c r="H8" i="25" l="1"/>
  <c r="E16" i="25"/>
  <c r="E17" i="25" s="1"/>
  <c r="E18" i="25" l="1"/>
  <c r="I7" i="25"/>
  <c r="H6" i="25"/>
  <c r="I5" i="25"/>
  <c r="G47" i="13"/>
  <c r="H49" i="13"/>
  <c r="I49" i="13" s="1"/>
  <c r="J49" i="13" s="1"/>
  <c r="K49" i="13" s="1"/>
  <c r="H50" i="13"/>
  <c r="I50" i="13" s="1"/>
  <c r="J50" i="13" s="1"/>
  <c r="K50" i="13" s="1"/>
  <c r="H48" i="13"/>
  <c r="I48" i="13" s="1"/>
  <c r="J48" i="13" s="1"/>
  <c r="K48" i="13" s="1"/>
  <c r="K47" i="13"/>
  <c r="K6" i="26" s="1"/>
  <c r="J47" i="13"/>
  <c r="J6" i="26" s="1"/>
  <c r="I47" i="13"/>
  <c r="I6" i="26" s="1"/>
  <c r="H47" i="13"/>
  <c r="H6" i="26" s="1"/>
  <c r="I44" i="13"/>
  <c r="J44" i="13" s="1"/>
  <c r="K44" i="13" s="1"/>
  <c r="H35" i="13"/>
  <c r="I35" i="13"/>
  <c r="J35" i="13"/>
  <c r="K35" i="13"/>
  <c r="G35" i="13"/>
  <c r="K29" i="13"/>
  <c r="J29" i="13"/>
  <c r="I29" i="13"/>
  <c r="H29" i="13"/>
  <c r="G29" i="13"/>
  <c r="G23" i="13"/>
  <c r="G17" i="13"/>
  <c r="H11" i="13"/>
  <c r="I11" i="13"/>
  <c r="J11" i="13"/>
  <c r="K11" i="13"/>
  <c r="G6" i="26" l="1"/>
  <c r="D11" i="45"/>
  <c r="D17" i="45" s="1"/>
  <c r="C3" i="27" s="1"/>
  <c r="I8" i="25"/>
  <c r="F16" i="25"/>
  <c r="F17" i="25" s="1"/>
  <c r="J7" i="25" s="1"/>
  <c r="F18" i="25"/>
  <c r="H23" i="13"/>
  <c r="D9" i="27" l="1"/>
  <c r="H9" i="27"/>
  <c r="G9" i="27"/>
  <c r="F9" i="27"/>
  <c r="E9" i="27"/>
  <c r="J8" i="25"/>
  <c r="G16" i="25"/>
  <c r="G17" i="25" s="1"/>
  <c r="K7" i="25" s="1"/>
  <c r="G18" i="25"/>
  <c r="I6" i="25"/>
  <c r="J5" i="25"/>
  <c r="I23" i="13"/>
  <c r="K8" i="25" l="1"/>
  <c r="H16" i="25"/>
  <c r="H17" i="25" s="1"/>
  <c r="H18" i="25"/>
  <c r="J6" i="25"/>
  <c r="K5" i="25"/>
  <c r="J23" i="13"/>
  <c r="I16" i="25" l="1"/>
  <c r="I17" i="25" s="1"/>
  <c r="I18" i="25"/>
  <c r="K6" i="25"/>
  <c r="J16" i="25" l="1"/>
  <c r="J17" i="25" s="1"/>
  <c r="J18" i="25"/>
  <c r="K16" i="25" l="1"/>
  <c r="K17" i="25" s="1"/>
  <c r="K18" i="25"/>
  <c r="L16" i="25" l="1"/>
  <c r="L17" i="25" s="1"/>
  <c r="L18" i="25"/>
  <c r="E7" i="12" l="1"/>
  <c r="E12" i="12" s="1"/>
  <c r="E18" i="12" s="1"/>
  <c r="E20" i="12" s="1"/>
  <c r="E24" i="12" s="1"/>
  <c r="F7" i="12"/>
  <c r="F12" i="12" s="1"/>
  <c r="F18" i="12" s="1"/>
  <c r="F20" i="12" s="1"/>
  <c r="F22" i="12" s="1"/>
  <c r="F24" i="12" s="1"/>
  <c r="D7" i="12"/>
  <c r="D12" i="12" s="1"/>
  <c r="D18" i="12" s="1"/>
  <c r="D20" i="12" s="1"/>
  <c r="D24" i="12" s="1"/>
  <c r="D16" i="13" l="1"/>
  <c r="D5" i="14"/>
  <c r="E16" i="13"/>
  <c r="E5" i="14"/>
  <c r="F16" i="13"/>
  <c r="G16" i="13" s="1"/>
  <c r="F5" i="14"/>
  <c r="D10" i="13"/>
  <c r="D4" i="14"/>
  <c r="D11" i="41" s="1"/>
  <c r="F10" i="13"/>
  <c r="F6" i="21" s="1"/>
  <c r="F4" i="14"/>
  <c r="E10" i="13"/>
  <c r="E6" i="21" s="1"/>
  <c r="D9" i="32" s="1"/>
  <c r="E4" i="14"/>
  <c r="D46" i="13"/>
  <c r="D15" i="14"/>
  <c r="D47" i="13"/>
  <c r="F46" i="13"/>
  <c r="F15" i="14"/>
  <c r="F47" i="13"/>
  <c r="F6" i="26" s="1"/>
  <c r="E46" i="13"/>
  <c r="E15" i="14"/>
  <c r="E47" i="13"/>
  <c r="D40" i="13"/>
  <c r="D13" i="14"/>
  <c r="F40" i="13"/>
  <c r="F13" i="14"/>
  <c r="E40" i="13"/>
  <c r="E13" i="14"/>
  <c r="D34" i="13"/>
  <c r="D11" i="14"/>
  <c r="F34" i="13"/>
  <c r="F10" i="23" s="1"/>
  <c r="F11" i="14"/>
  <c r="E34" i="13"/>
  <c r="E10" i="23" s="1"/>
  <c r="E11" i="14"/>
  <c r="D28" i="13"/>
  <c r="D9" i="14"/>
  <c r="F28" i="13"/>
  <c r="F9" i="14"/>
  <c r="E28" i="13"/>
  <c r="E9" i="14"/>
  <c r="D9" i="30" s="1"/>
  <c r="D22" i="13"/>
  <c r="D7" i="14"/>
  <c r="F22" i="13"/>
  <c r="F7" i="14"/>
  <c r="F12" i="41" s="1"/>
  <c r="E22" i="13"/>
  <c r="E7" i="14"/>
  <c r="H16" i="13"/>
  <c r="G5" i="14"/>
  <c r="D19" i="21"/>
  <c r="D16" i="21"/>
  <c r="F11" i="13"/>
  <c r="F19" i="21"/>
  <c r="F16" i="21"/>
  <c r="G10" i="13"/>
  <c r="E19" i="21"/>
  <c r="E16" i="21"/>
  <c r="F41" i="13"/>
  <c r="E17" i="13"/>
  <c r="F17" i="13"/>
  <c r="E11" i="13"/>
  <c r="E41" i="13"/>
  <c r="D35" i="13"/>
  <c r="F35" i="13"/>
  <c r="E35" i="13"/>
  <c r="D29" i="13"/>
  <c r="F29" i="13"/>
  <c r="E29" i="13"/>
  <c r="D23" i="13"/>
  <c r="F23" i="13"/>
  <c r="K23" i="13" s="1"/>
  <c r="E23" i="13"/>
  <c r="G39" i="21" l="1"/>
  <c r="G28" i="22" s="1"/>
  <c r="G36" i="21"/>
  <c r="G27" i="22" s="1"/>
  <c r="G33" i="21"/>
  <c r="G22" i="22" s="1"/>
  <c r="G17" i="40" s="1"/>
  <c r="G30" i="21"/>
  <c r="G21" i="22" s="1"/>
  <c r="G27" i="21"/>
  <c r="G19" i="22" s="1"/>
  <c r="G21" i="21"/>
  <c r="G11" i="22" s="1"/>
  <c r="G10" i="23"/>
  <c r="G6" i="23" s="1"/>
  <c r="H10" i="23"/>
  <c r="D6" i="21"/>
  <c r="C9" i="32" s="1"/>
  <c r="D12" i="21"/>
  <c r="D9" i="21"/>
  <c r="F12" i="21"/>
  <c r="F9" i="21"/>
  <c r="E12" i="21"/>
  <c r="E9" i="21"/>
  <c r="G43" i="13"/>
  <c r="H43" i="13" s="1"/>
  <c r="I43" i="13" s="1"/>
  <c r="J43" i="13" s="1"/>
  <c r="K43" i="13" s="1"/>
  <c r="G42" i="13"/>
  <c r="D11" i="32"/>
  <c r="D10" i="32"/>
  <c r="C11" i="32"/>
  <c r="C10" i="32"/>
  <c r="D8" i="30"/>
  <c r="E8" i="30"/>
  <c r="E9" i="30"/>
  <c r="D4" i="29"/>
  <c r="E6" i="14"/>
  <c r="E8" i="14" s="1"/>
  <c r="E10" i="14" s="1"/>
  <c r="E12" i="14" s="1"/>
  <c r="E4" i="29"/>
  <c r="F6" i="14"/>
  <c r="F8" i="14" s="1"/>
  <c r="C4" i="29"/>
  <c r="D6" i="14"/>
  <c r="D8" i="14" s="1"/>
  <c r="D10" i="14" s="1"/>
  <c r="D12" i="14" s="1"/>
  <c r="E10" i="32"/>
  <c r="H9" i="21"/>
  <c r="I9" i="21"/>
  <c r="J9" i="21"/>
  <c r="K9" i="21"/>
  <c r="G9" i="21"/>
  <c r="E11" i="32"/>
  <c r="H12" i="21"/>
  <c r="I12" i="21"/>
  <c r="J12" i="21"/>
  <c r="K12" i="21"/>
  <c r="G12" i="21"/>
  <c r="G34" i="13"/>
  <c r="G7" i="23" s="1"/>
  <c r="G28" i="13"/>
  <c r="G9" i="14" s="1"/>
  <c r="F9" i="30" s="1"/>
  <c r="C16" i="30" s="1"/>
  <c r="G22" i="13"/>
  <c r="G11" i="21" s="1"/>
  <c r="G20" i="22" s="1"/>
  <c r="G4" i="14"/>
  <c r="H10" i="13"/>
  <c r="E9" i="32"/>
  <c r="H6" i="21"/>
  <c r="H5" i="21" s="1"/>
  <c r="H8" i="22" s="1"/>
  <c r="I6" i="21"/>
  <c r="J6" i="21"/>
  <c r="K6" i="21"/>
  <c r="G6" i="21"/>
  <c r="G5" i="21" s="1"/>
  <c r="G8" i="22" s="1"/>
  <c r="H19" i="21"/>
  <c r="H18" i="21" s="1"/>
  <c r="H10" i="22" s="1"/>
  <c r="I19" i="21"/>
  <c r="J19" i="21"/>
  <c r="K19" i="21"/>
  <c r="G19" i="21"/>
  <c r="G18" i="21" s="1"/>
  <c r="I16" i="13"/>
  <c r="H5" i="14"/>
  <c r="F10" i="14" l="1"/>
  <c r="F13" i="41"/>
  <c r="F12" i="14"/>
  <c r="F10" i="41"/>
  <c r="G28" i="40"/>
  <c r="G23" i="26"/>
  <c r="G29" i="22"/>
  <c r="G27" i="40"/>
  <c r="G22" i="26"/>
  <c r="G15" i="26"/>
  <c r="G18" i="40"/>
  <c r="G16" i="40"/>
  <c r="G12" i="26"/>
  <c r="H12" i="40"/>
  <c r="H10" i="26"/>
  <c r="G12" i="40"/>
  <c r="G10" i="26"/>
  <c r="H39" i="21"/>
  <c r="H28" i="22" s="1"/>
  <c r="H36" i="21"/>
  <c r="H27" i="22" s="1"/>
  <c r="H33" i="21"/>
  <c r="H22" i="22" s="1"/>
  <c r="H17" i="40" s="1"/>
  <c r="H30" i="21"/>
  <c r="H21" i="22" s="1"/>
  <c r="H27" i="21"/>
  <c r="H19" i="22" s="1"/>
  <c r="H21" i="21"/>
  <c r="H11" i="22" s="1"/>
  <c r="G10" i="22"/>
  <c r="I10" i="23"/>
  <c r="G7" i="14"/>
  <c r="G8" i="21"/>
  <c r="G7" i="22" s="1"/>
  <c r="G41" i="13"/>
  <c r="G40" i="13" s="1"/>
  <c r="G13" i="14" s="1"/>
  <c r="H42" i="13"/>
  <c r="D10" i="41"/>
  <c r="D13" i="41"/>
  <c r="C10" i="30"/>
  <c r="C5" i="29"/>
  <c r="C6" i="29" s="1"/>
  <c r="E7" i="30"/>
  <c r="D7" i="30"/>
  <c r="J16" i="13"/>
  <c r="I5" i="14"/>
  <c r="G9" i="32"/>
  <c r="K9" i="32"/>
  <c r="J9" i="32"/>
  <c r="I9" i="32"/>
  <c r="H9" i="32"/>
  <c r="H34" i="13"/>
  <c r="H7" i="23" s="1"/>
  <c r="H28" i="13"/>
  <c r="H9" i="14" s="1"/>
  <c r="G9" i="30" s="1"/>
  <c r="H22" i="13"/>
  <c r="H4" i="14"/>
  <c r="I10" i="13"/>
  <c r="G4" i="29"/>
  <c r="G6" i="14"/>
  <c r="G8" i="14" s="1"/>
  <c r="G11" i="14"/>
  <c r="G11" i="32"/>
  <c r="K11" i="32"/>
  <c r="J11" i="32"/>
  <c r="I11" i="32"/>
  <c r="H11" i="32"/>
  <c r="G10" i="32"/>
  <c r="K10" i="32"/>
  <c r="J10" i="32"/>
  <c r="I10" i="32"/>
  <c r="H10" i="32"/>
  <c r="F14" i="14" l="1"/>
  <c r="F16" i="14" s="1"/>
  <c r="F4" i="26"/>
  <c r="F5" i="40"/>
  <c r="F19" i="40" s="1"/>
  <c r="F9" i="41"/>
  <c r="F14" i="41"/>
  <c r="F8" i="30"/>
  <c r="C15" i="30" s="1"/>
  <c r="G12" i="41"/>
  <c r="G10" i="14"/>
  <c r="G10" i="41" s="1"/>
  <c r="G13" i="41"/>
  <c r="H28" i="40"/>
  <c r="H23" i="26"/>
  <c r="H29" i="22"/>
  <c r="H27" i="40"/>
  <c r="H22" i="26"/>
  <c r="H15" i="26"/>
  <c r="H18" i="40"/>
  <c r="G13" i="40"/>
  <c r="G11" i="26"/>
  <c r="G13" i="26" s="1"/>
  <c r="G19" i="26"/>
  <c r="G8" i="40"/>
  <c r="G7" i="40"/>
  <c r="G8" i="26"/>
  <c r="I36" i="21"/>
  <c r="I27" i="22" s="1"/>
  <c r="I39" i="21"/>
  <c r="I28" i="22" s="1"/>
  <c r="I33" i="21"/>
  <c r="I22" i="22" s="1"/>
  <c r="I17" i="40" s="1"/>
  <c r="I30" i="21"/>
  <c r="I21" i="22" s="1"/>
  <c r="I27" i="21"/>
  <c r="I19" i="22" s="1"/>
  <c r="I21" i="21"/>
  <c r="I11" i="22" s="1"/>
  <c r="J10" i="23"/>
  <c r="K10" i="23" s="1"/>
  <c r="G23" i="22"/>
  <c r="G6" i="32" s="1"/>
  <c r="G12" i="14"/>
  <c r="H8" i="21"/>
  <c r="H7" i="22" s="1"/>
  <c r="H11" i="21"/>
  <c r="H20" i="22" s="1"/>
  <c r="I5" i="21"/>
  <c r="I8" i="22" s="1"/>
  <c r="I42" i="13"/>
  <c r="H41" i="13"/>
  <c r="H40" i="13" s="1"/>
  <c r="H13" i="14" s="1"/>
  <c r="H7" i="14"/>
  <c r="D14" i="41"/>
  <c r="D10" i="30"/>
  <c r="D5" i="29"/>
  <c r="D6" i="29" s="1"/>
  <c r="E10" i="30"/>
  <c r="C13" i="30" s="1"/>
  <c r="E5" i="29"/>
  <c r="E6" i="29" s="1"/>
  <c r="F7" i="30"/>
  <c r="C14" i="30" s="1"/>
  <c r="I34" i="13"/>
  <c r="I7" i="23" s="1"/>
  <c r="I28" i="13"/>
  <c r="I9" i="14" s="1"/>
  <c r="H9" i="30" s="1"/>
  <c r="I22" i="13"/>
  <c r="I4" i="14"/>
  <c r="J10" i="13"/>
  <c r="I18" i="21"/>
  <c r="H4" i="29"/>
  <c r="H6" i="14"/>
  <c r="H8" i="14" s="1"/>
  <c r="H11" i="14"/>
  <c r="K16" i="13"/>
  <c r="K5" i="14" s="1"/>
  <c r="J5" i="14"/>
  <c r="F7" i="24" l="1"/>
  <c r="F19" i="24"/>
  <c r="F18" i="24" s="1"/>
  <c r="F24" i="26"/>
  <c r="F25" i="26"/>
  <c r="F29" i="40"/>
  <c r="F30" i="40"/>
  <c r="F16" i="41"/>
  <c r="F5" i="26"/>
  <c r="F20" i="26" s="1"/>
  <c r="F7" i="26"/>
  <c r="F9" i="26" s="1"/>
  <c r="F18" i="26" s="1"/>
  <c r="F26" i="26" s="1"/>
  <c r="F29" i="26" s="1"/>
  <c r="E9" i="31"/>
  <c r="G14" i="41"/>
  <c r="G9" i="41"/>
  <c r="G8" i="30"/>
  <c r="H12" i="41"/>
  <c r="H10" i="14"/>
  <c r="H10" i="41" s="1"/>
  <c r="H13" i="41"/>
  <c r="I27" i="40"/>
  <c r="I22" i="26"/>
  <c r="I28" i="40"/>
  <c r="I23" i="26"/>
  <c r="I15" i="26"/>
  <c r="I18" i="40"/>
  <c r="G14" i="14"/>
  <c r="G5" i="40"/>
  <c r="G4" i="26"/>
  <c r="H13" i="40"/>
  <c r="H11" i="26"/>
  <c r="H16" i="40"/>
  <c r="H12" i="26"/>
  <c r="I12" i="40"/>
  <c r="I10" i="26"/>
  <c r="H19" i="26"/>
  <c r="H8" i="40"/>
  <c r="H7" i="40"/>
  <c r="H8" i="26"/>
  <c r="I29" i="22"/>
  <c r="J36" i="21"/>
  <c r="J27" i="22" s="1"/>
  <c r="J39" i="21"/>
  <c r="J33" i="21"/>
  <c r="J22" i="22" s="1"/>
  <c r="J17" i="40" s="1"/>
  <c r="J30" i="21"/>
  <c r="J21" i="22" s="1"/>
  <c r="J27" i="21"/>
  <c r="J19" i="22" s="1"/>
  <c r="J21" i="21"/>
  <c r="J11" i="22" s="1"/>
  <c r="I10" i="22"/>
  <c r="H23" i="22"/>
  <c r="H6" i="32" s="1"/>
  <c r="H12" i="14"/>
  <c r="I8" i="21"/>
  <c r="I7" i="22" s="1"/>
  <c r="I11" i="21"/>
  <c r="I20" i="22" s="1"/>
  <c r="J5" i="21"/>
  <c r="J8" i="22" s="1"/>
  <c r="J42" i="13"/>
  <c r="I41" i="13"/>
  <c r="I40" i="13" s="1"/>
  <c r="I13" i="14" s="1"/>
  <c r="C7" i="29"/>
  <c r="C8" i="29" s="1"/>
  <c r="D15" i="41"/>
  <c r="D19" i="40"/>
  <c r="G7" i="30"/>
  <c r="J34" i="13"/>
  <c r="J7" i="23" s="1"/>
  <c r="J28" i="13"/>
  <c r="J9" i="14" s="1"/>
  <c r="I9" i="30" s="1"/>
  <c r="J22" i="13"/>
  <c r="J4" i="14"/>
  <c r="K10" i="13"/>
  <c r="K36" i="21" s="1"/>
  <c r="K27" i="22" s="1"/>
  <c r="J18" i="21"/>
  <c r="I4" i="29"/>
  <c r="I6" i="14"/>
  <c r="I7" i="14"/>
  <c r="I11" i="14"/>
  <c r="F10" i="30"/>
  <c r="C17" i="30" s="1"/>
  <c r="G5" i="29"/>
  <c r="G6" i="29" s="1"/>
  <c r="G28" i="26" l="1"/>
  <c r="F9" i="22"/>
  <c r="F31" i="40"/>
  <c r="H14" i="41"/>
  <c r="H9" i="41"/>
  <c r="H8" i="30"/>
  <c r="I12" i="41"/>
  <c r="G5" i="26"/>
  <c r="G7" i="26"/>
  <c r="G9" i="26" s="1"/>
  <c r="H13" i="26"/>
  <c r="J27" i="40"/>
  <c r="J22" i="26"/>
  <c r="J15" i="26"/>
  <c r="J18" i="40"/>
  <c r="H14" i="14"/>
  <c r="H5" i="40"/>
  <c r="H4" i="26"/>
  <c r="I13" i="40"/>
  <c r="I11" i="26"/>
  <c r="I16" i="40"/>
  <c r="I12" i="26"/>
  <c r="J12" i="40"/>
  <c r="J10" i="26"/>
  <c r="I19" i="26"/>
  <c r="I8" i="40"/>
  <c r="K27" i="40"/>
  <c r="K22" i="26"/>
  <c r="I7" i="40"/>
  <c r="I8" i="26"/>
  <c r="J28" i="22"/>
  <c r="K39" i="21"/>
  <c r="K28" i="22" s="1"/>
  <c r="K33" i="21"/>
  <c r="K22" i="22" s="1"/>
  <c r="K17" i="40" s="1"/>
  <c r="K30" i="21"/>
  <c r="K21" i="22" s="1"/>
  <c r="K27" i="21"/>
  <c r="K19" i="22" s="1"/>
  <c r="K21" i="21"/>
  <c r="K11" i="22" s="1"/>
  <c r="J10" i="22"/>
  <c r="I23" i="22"/>
  <c r="I6" i="32" s="1"/>
  <c r="I8" i="14"/>
  <c r="J8" i="21"/>
  <c r="J7" i="22" s="1"/>
  <c r="J11" i="21"/>
  <c r="J20" i="22" s="1"/>
  <c r="K5" i="21"/>
  <c r="K8" i="22" s="1"/>
  <c r="K42" i="13"/>
  <c r="K41" i="13" s="1"/>
  <c r="J41" i="13"/>
  <c r="J40" i="13" s="1"/>
  <c r="D7" i="29"/>
  <c r="D8" i="29" s="1"/>
  <c r="E7" i="29"/>
  <c r="E8" i="29" s="1"/>
  <c r="E29" i="26"/>
  <c r="E32" i="26" s="1"/>
  <c r="H7" i="30"/>
  <c r="K34" i="13"/>
  <c r="K7" i="23" s="1"/>
  <c r="K28" i="13"/>
  <c r="K9" i="14" s="1"/>
  <c r="J9" i="30" s="1"/>
  <c r="K22" i="13"/>
  <c r="K4" i="14"/>
  <c r="K18" i="21"/>
  <c r="J4" i="29"/>
  <c r="J6" i="14"/>
  <c r="J7" i="14"/>
  <c r="J11" i="14"/>
  <c r="G10" i="30"/>
  <c r="H5" i="29"/>
  <c r="H6" i="29" s="1"/>
  <c r="C18" i="27" l="1"/>
  <c r="F6" i="41"/>
  <c r="F12" i="22"/>
  <c r="F31" i="26"/>
  <c r="F32" i="26" s="1"/>
  <c r="G35" i="40"/>
  <c r="F8" i="31" s="1"/>
  <c r="F33" i="40"/>
  <c r="F37" i="40" s="1"/>
  <c r="E11" i="31"/>
  <c r="I10" i="14"/>
  <c r="I13" i="41"/>
  <c r="I8" i="30"/>
  <c r="J12" i="41"/>
  <c r="H5" i="26"/>
  <c r="H7" i="26"/>
  <c r="H9" i="26" s="1"/>
  <c r="I13" i="26"/>
  <c r="J29" i="22"/>
  <c r="J28" i="40"/>
  <c r="J23" i="26"/>
  <c r="K29" i="22"/>
  <c r="K28" i="40"/>
  <c r="K23" i="26"/>
  <c r="K15" i="26"/>
  <c r="K18" i="40"/>
  <c r="J13" i="40"/>
  <c r="J11" i="26"/>
  <c r="J16" i="40"/>
  <c r="J12" i="26"/>
  <c r="K12" i="40"/>
  <c r="K10" i="26"/>
  <c r="J7" i="40"/>
  <c r="J8" i="26"/>
  <c r="D9" i="26"/>
  <c r="D18" i="26" s="1"/>
  <c r="D26" i="26" s="1"/>
  <c r="D29" i="26" s="1"/>
  <c r="D32" i="26" s="1"/>
  <c r="K10" i="22"/>
  <c r="J23" i="22"/>
  <c r="J6" i="32" s="1"/>
  <c r="J8" i="14"/>
  <c r="K8" i="21"/>
  <c r="K7" i="22" s="1"/>
  <c r="K11" i="21"/>
  <c r="K20" i="22" s="1"/>
  <c r="J13" i="14"/>
  <c r="K40" i="13"/>
  <c r="K13" i="14" s="1"/>
  <c r="F8" i="24"/>
  <c r="F6" i="24"/>
  <c r="E8" i="24"/>
  <c r="E6" i="24"/>
  <c r="D33" i="40"/>
  <c r="D37" i="40" s="1"/>
  <c r="D39" i="40" s="1"/>
  <c r="I7" i="30"/>
  <c r="K6" i="14"/>
  <c r="K4" i="29"/>
  <c r="K7" i="14"/>
  <c r="K11" i="14"/>
  <c r="H10" i="30"/>
  <c r="I5" i="29"/>
  <c r="I6" i="29" s="1"/>
  <c r="G46" i="13"/>
  <c r="G15" i="14" s="1"/>
  <c r="F17" i="22" l="1"/>
  <c r="F4" i="41"/>
  <c r="F5" i="41"/>
  <c r="E5" i="32"/>
  <c r="E7" i="32" s="1"/>
  <c r="F39" i="40"/>
  <c r="E12" i="31"/>
  <c r="I10" i="41"/>
  <c r="I12" i="14"/>
  <c r="J10" i="14"/>
  <c r="J13" i="41"/>
  <c r="J8" i="30"/>
  <c r="K12" i="41"/>
  <c r="J13" i="26"/>
  <c r="K13" i="40"/>
  <c r="K11" i="26"/>
  <c r="K16" i="40"/>
  <c r="K12" i="26"/>
  <c r="J19" i="26"/>
  <c r="J8" i="40"/>
  <c r="K19" i="26"/>
  <c r="K8" i="40"/>
  <c r="K7" i="40"/>
  <c r="K8" i="26"/>
  <c r="G16" i="14"/>
  <c r="G9" i="40"/>
  <c r="G20" i="26"/>
  <c r="G19" i="24"/>
  <c r="G20" i="24" s="1"/>
  <c r="G7" i="24"/>
  <c r="K23" i="22"/>
  <c r="K6" i="32" s="1"/>
  <c r="K8" i="14"/>
  <c r="E37" i="40"/>
  <c r="E39" i="40" s="1"/>
  <c r="G7" i="29"/>
  <c r="G8" i="29" s="1"/>
  <c r="J7" i="30"/>
  <c r="I10" i="30"/>
  <c r="J5" i="29"/>
  <c r="J6" i="29" s="1"/>
  <c r="H46" i="13"/>
  <c r="H15" i="14" s="1"/>
  <c r="F15" i="41" l="1"/>
  <c r="F7" i="41"/>
  <c r="F11" i="41"/>
  <c r="F35" i="22"/>
  <c r="I14" i="14"/>
  <c r="I5" i="40"/>
  <c r="I4" i="26"/>
  <c r="I9" i="41"/>
  <c r="I14" i="41"/>
  <c r="J10" i="41"/>
  <c r="J12" i="14"/>
  <c r="K10" i="14"/>
  <c r="K13" i="41"/>
  <c r="K13" i="26"/>
  <c r="H16" i="14"/>
  <c r="H9" i="40"/>
  <c r="H20" i="26"/>
  <c r="H17" i="24"/>
  <c r="G31" i="22"/>
  <c r="H19" i="24"/>
  <c r="H7" i="24"/>
  <c r="H8" i="24"/>
  <c r="H7" i="29"/>
  <c r="H8" i="29" s="1"/>
  <c r="J10" i="30"/>
  <c r="K5" i="29"/>
  <c r="K6" i="29" s="1"/>
  <c r="I46" i="13"/>
  <c r="I15" i="14" s="1"/>
  <c r="G8" i="24"/>
  <c r="G9" i="24"/>
  <c r="G30" i="22" s="1"/>
  <c r="I5" i="26" l="1"/>
  <c r="I7" i="26" s="1"/>
  <c r="I9" i="26" s="1"/>
  <c r="J5" i="40"/>
  <c r="J4" i="26"/>
  <c r="J14" i="14"/>
  <c r="J9" i="41"/>
  <c r="J14" i="41"/>
  <c r="K10" i="41"/>
  <c r="K12" i="14"/>
  <c r="G30" i="40"/>
  <c r="G25" i="26"/>
  <c r="I16" i="14"/>
  <c r="I9" i="40"/>
  <c r="I20" i="26"/>
  <c r="G32" i="22"/>
  <c r="G29" i="40"/>
  <c r="G31" i="40" s="1"/>
  <c r="F11" i="31" s="1"/>
  <c r="G24" i="26"/>
  <c r="H20" i="24"/>
  <c r="I19" i="24"/>
  <c r="I7" i="24"/>
  <c r="H5" i="24"/>
  <c r="H9" i="24" s="1"/>
  <c r="H30" i="22" s="1"/>
  <c r="I8" i="24"/>
  <c r="I7" i="29"/>
  <c r="I8" i="29" s="1"/>
  <c r="J46" i="13"/>
  <c r="J15" i="14" s="1"/>
  <c r="J5" i="26" l="1"/>
  <c r="J7" i="26" s="1"/>
  <c r="J9" i="26" s="1"/>
  <c r="K14" i="14"/>
  <c r="K5" i="40"/>
  <c r="K4" i="26"/>
  <c r="K9" i="41"/>
  <c r="K14" i="41"/>
  <c r="G33" i="22"/>
  <c r="G8" i="41"/>
  <c r="G16" i="41"/>
  <c r="H29" i="40"/>
  <c r="H24" i="26"/>
  <c r="J16" i="14"/>
  <c r="J9" i="40"/>
  <c r="J20" i="26"/>
  <c r="I17" i="24"/>
  <c r="I20" i="24" s="1"/>
  <c r="H31" i="22"/>
  <c r="J19" i="24"/>
  <c r="J7" i="24"/>
  <c r="J8" i="24"/>
  <c r="J7" i="29"/>
  <c r="J8" i="29" s="1"/>
  <c r="K46" i="13"/>
  <c r="K15" i="14" s="1"/>
  <c r="I5" i="24"/>
  <c r="I9" i="24" s="1"/>
  <c r="I30" i="22" s="1"/>
  <c r="K5" i="26" l="1"/>
  <c r="K7" i="26" s="1"/>
  <c r="K9" i="26" s="1"/>
  <c r="H32" i="22"/>
  <c r="H30" i="40"/>
  <c r="H31" i="40" s="1"/>
  <c r="G11" i="31" s="1"/>
  <c r="H25" i="26"/>
  <c r="K16" i="14"/>
  <c r="K9" i="40"/>
  <c r="K20" i="26"/>
  <c r="I29" i="40"/>
  <c r="I24" i="26"/>
  <c r="I31" i="22"/>
  <c r="J17" i="24"/>
  <c r="J20" i="24" s="1"/>
  <c r="K19" i="24"/>
  <c r="K7" i="24"/>
  <c r="J5" i="24"/>
  <c r="J9" i="24" s="1"/>
  <c r="J30" i="22" s="1"/>
  <c r="K8" i="24"/>
  <c r="K7" i="29"/>
  <c r="K8" i="29" s="1"/>
  <c r="H33" i="22" l="1"/>
  <c r="H8" i="41"/>
  <c r="H16" i="41"/>
  <c r="I32" i="22"/>
  <c r="I30" i="40"/>
  <c r="I31" i="40" s="1"/>
  <c r="H11" i="31" s="1"/>
  <c r="I25" i="26"/>
  <c r="J29" i="40"/>
  <c r="J24" i="26"/>
  <c r="J31" i="22"/>
  <c r="K17" i="24"/>
  <c r="K20" i="24" s="1"/>
  <c r="K31" i="22" s="1"/>
  <c r="K5" i="24"/>
  <c r="K9" i="24" s="1"/>
  <c r="K30" i="22" s="1"/>
  <c r="I33" i="22" l="1"/>
  <c r="I8" i="41"/>
  <c r="I16" i="41"/>
  <c r="J32" i="22"/>
  <c r="J30" i="40"/>
  <c r="J31" i="40" s="1"/>
  <c r="I11" i="31" s="1"/>
  <c r="J25" i="26"/>
  <c r="K30" i="40"/>
  <c r="K25" i="26"/>
  <c r="K32" i="22"/>
  <c r="K29" i="40"/>
  <c r="K31" i="40" s="1"/>
  <c r="J11" i="31" s="1"/>
  <c r="K24" i="26"/>
  <c r="C15" i="31"/>
  <c r="C18" i="31"/>
  <c r="J33" i="22" l="1"/>
  <c r="J8" i="41"/>
  <c r="J16" i="41"/>
  <c r="K33" i="22"/>
  <c r="K8" i="41"/>
  <c r="K16" i="41"/>
  <c r="C19" i="31"/>
  <c r="C16" i="31" l="1"/>
  <c r="G15" i="21"/>
  <c r="G6" i="22"/>
  <c r="H15" i="21"/>
  <c r="H6" i="22"/>
  <c r="I15" i="21"/>
  <c r="I6" i="22"/>
  <c r="J15" i="21"/>
  <c r="J6" i="22"/>
  <c r="K15" i="21"/>
  <c r="K6" i="22"/>
  <c r="G14" i="40" l="1"/>
  <c r="G19" i="40" s="1"/>
  <c r="F9" i="31" s="1"/>
  <c r="G14" i="26"/>
  <c r="G16" i="26" s="1"/>
  <c r="H14" i="40"/>
  <c r="H19" i="40" s="1"/>
  <c r="G9" i="31" s="1"/>
  <c r="H14" i="26"/>
  <c r="H16" i="26" s="1"/>
  <c r="I14" i="40"/>
  <c r="I19" i="40" s="1"/>
  <c r="H9" i="31" s="1"/>
  <c r="I14" i="26"/>
  <c r="I16" i="26" s="1"/>
  <c r="J14" i="40"/>
  <c r="J19" i="40" s="1"/>
  <c r="I9" i="31" s="1"/>
  <c r="J14" i="26"/>
  <c r="J16" i="26" s="1"/>
  <c r="K14" i="40"/>
  <c r="K19" i="40" s="1"/>
  <c r="J9" i="31" s="1"/>
  <c r="K14" i="26"/>
  <c r="K16" i="26" s="1"/>
  <c r="C17" i="31"/>
  <c r="G8" i="23"/>
  <c r="G14" i="22"/>
  <c r="G16" i="22"/>
  <c r="H5" i="23"/>
  <c r="H6" i="23" s="1"/>
  <c r="H8" i="23" s="1"/>
  <c r="G17" i="26" l="1"/>
  <c r="G18" i="26" s="1"/>
  <c r="G22" i="40"/>
  <c r="G24" i="40" s="1"/>
  <c r="F10" i="31" s="1"/>
  <c r="I5" i="23"/>
  <c r="H14" i="22"/>
  <c r="D8" i="27" l="1"/>
  <c r="G26" i="26"/>
  <c r="G29" i="26" s="1"/>
  <c r="G33" i="40"/>
  <c r="G37" i="40" s="1"/>
  <c r="F12" i="31" s="1"/>
  <c r="H17" i="26"/>
  <c r="H22" i="40"/>
  <c r="I6" i="23"/>
  <c r="I8" i="23"/>
  <c r="H18" i="26"/>
  <c r="H24" i="40"/>
  <c r="G10" i="31" s="1"/>
  <c r="H16" i="22"/>
  <c r="C49" i="31" l="1"/>
  <c r="D10" i="27"/>
  <c r="C50" i="31" s="1"/>
  <c r="G9" i="22"/>
  <c r="G6" i="41" s="1"/>
  <c r="H28" i="26"/>
  <c r="J5" i="23"/>
  <c r="I14" i="22"/>
  <c r="E8" i="27"/>
  <c r="D49" i="31" s="1"/>
  <c r="H26" i="26"/>
  <c r="H29" i="26" s="1"/>
  <c r="H9" i="22" s="1"/>
  <c r="H6" i="41" s="1"/>
  <c r="H33" i="40"/>
  <c r="G39" i="40" l="1"/>
  <c r="G12" i="22"/>
  <c r="G5" i="32" s="1"/>
  <c r="G7" i="32" s="1"/>
  <c r="G31" i="26"/>
  <c r="G32" i="26" s="1"/>
  <c r="H35" i="40"/>
  <c r="I17" i="26"/>
  <c r="I22" i="40"/>
  <c r="H12" i="22"/>
  <c r="H5" i="32" s="1"/>
  <c r="H7" i="32" s="1"/>
  <c r="H31" i="26"/>
  <c r="I35" i="40"/>
  <c r="H8" i="31" s="1"/>
  <c r="J6" i="23"/>
  <c r="J8" i="23"/>
  <c r="I18" i="26"/>
  <c r="I24" i="40"/>
  <c r="H10" i="31" s="1"/>
  <c r="I16" i="22"/>
  <c r="E10" i="27"/>
  <c r="D50" i="31" s="1"/>
  <c r="H32" i="26"/>
  <c r="I28" i="26"/>
  <c r="H37" i="40" l="1"/>
  <c r="G8" i="31"/>
  <c r="G5" i="41"/>
  <c r="G4" i="41"/>
  <c r="H5" i="41"/>
  <c r="H4" i="41"/>
  <c r="G17" i="22"/>
  <c r="H17" i="22"/>
  <c r="K5" i="23"/>
  <c r="J14" i="22"/>
  <c r="F8" i="27"/>
  <c r="E49" i="31" s="1"/>
  <c r="I26" i="26"/>
  <c r="I29" i="26" s="1"/>
  <c r="I9" i="22" s="1"/>
  <c r="I6" i="41" s="1"/>
  <c r="I33" i="40"/>
  <c r="I37" i="40" s="1"/>
  <c r="H12" i="31" s="1"/>
  <c r="G12" i="31" l="1"/>
  <c r="H39" i="40"/>
  <c r="G11" i="41"/>
  <c r="G7" i="41"/>
  <c r="G15" i="41"/>
  <c r="H11" i="41"/>
  <c r="H7" i="41"/>
  <c r="H15" i="41"/>
  <c r="G35" i="22"/>
  <c r="H35" i="22"/>
  <c r="J17" i="26"/>
  <c r="J22" i="40"/>
  <c r="I39" i="40"/>
  <c r="I12" i="22"/>
  <c r="I5" i="32" s="1"/>
  <c r="I7" i="32" s="1"/>
  <c r="I31" i="26"/>
  <c r="J35" i="40"/>
  <c r="I8" i="31" s="1"/>
  <c r="K6" i="23"/>
  <c r="K8" i="23"/>
  <c r="K14" i="22" s="1"/>
  <c r="J18" i="26"/>
  <c r="J24" i="40"/>
  <c r="I10" i="31" s="1"/>
  <c r="J16" i="22"/>
  <c r="F10" i="27"/>
  <c r="E50" i="31" s="1"/>
  <c r="J28" i="26"/>
  <c r="I32" i="26"/>
  <c r="I5" i="41" l="1"/>
  <c r="I4" i="41"/>
  <c r="I17" i="22"/>
  <c r="K17" i="26"/>
  <c r="K22" i="40"/>
  <c r="K18" i="26"/>
  <c r="K24" i="40"/>
  <c r="J10" i="31" s="1"/>
  <c r="K16" i="22"/>
  <c r="G8" i="27"/>
  <c r="F49" i="31" s="1"/>
  <c r="J26" i="26"/>
  <c r="J29" i="26" s="1"/>
  <c r="J9" i="22" s="1"/>
  <c r="J6" i="41" s="1"/>
  <c r="J33" i="40"/>
  <c r="J37" i="40" s="1"/>
  <c r="I12" i="31" s="1"/>
  <c r="I11" i="41" l="1"/>
  <c r="I7" i="41"/>
  <c r="I15" i="41"/>
  <c r="I35" i="22"/>
  <c r="J39" i="40"/>
  <c r="J12" i="22"/>
  <c r="J5" i="32" s="1"/>
  <c r="J7" i="32" s="1"/>
  <c r="J31" i="26"/>
  <c r="K35" i="40"/>
  <c r="J8" i="31" s="1"/>
  <c r="H8" i="27"/>
  <c r="G49" i="31" s="1"/>
  <c r="K26" i="26"/>
  <c r="K33" i="40"/>
  <c r="K37" i="40" s="1"/>
  <c r="J12" i="31" s="1"/>
  <c r="G10" i="27"/>
  <c r="F50" i="31" s="1"/>
  <c r="J32" i="26"/>
  <c r="K28" i="26"/>
  <c r="J5" i="41" l="1"/>
  <c r="J4" i="41"/>
  <c r="J17" i="22"/>
  <c r="H10" i="27"/>
  <c r="G50" i="31" s="1"/>
  <c r="C14" i="27"/>
  <c r="C15" i="27" s="1"/>
  <c r="C13" i="27"/>
  <c r="K29" i="26"/>
  <c r="K9" i="22" s="1"/>
  <c r="K6" i="41" s="1"/>
  <c r="J11" i="41" l="1"/>
  <c r="J7" i="41"/>
  <c r="J15" i="41"/>
  <c r="J35" i="22"/>
  <c r="K39" i="40"/>
  <c r="K12" i="22"/>
  <c r="K5" i="32" s="1"/>
  <c r="K7" i="32" s="1"/>
  <c r="K31" i="26"/>
  <c r="K32" i="26" s="1"/>
  <c r="C16" i="27"/>
  <c r="E13" i="27" s="1"/>
  <c r="K5" i="41" l="1"/>
  <c r="K4" i="41"/>
  <c r="K17" i="22"/>
  <c r="E15" i="27"/>
  <c r="C19" i="27"/>
  <c r="F21" i="27"/>
  <c r="K7" i="41" l="1"/>
  <c r="K11" i="41"/>
  <c r="K15" i="41"/>
  <c r="K35" i="22"/>
</calcChain>
</file>

<file path=xl/sharedStrings.xml><?xml version="1.0" encoding="utf-8"?>
<sst xmlns="http://schemas.openxmlformats.org/spreadsheetml/2006/main" count="613" uniqueCount="342">
  <si>
    <t>Operating expenses</t>
  </si>
  <si>
    <t>D&amp;A</t>
  </si>
  <si>
    <t>Taxes</t>
  </si>
  <si>
    <t>Revenue</t>
  </si>
  <si>
    <t>Cost of Goods Sold</t>
  </si>
  <si>
    <t>Interest</t>
  </si>
  <si>
    <t>Gross Profit</t>
  </si>
  <si>
    <t>EBITDA</t>
  </si>
  <si>
    <t>EBT</t>
  </si>
  <si>
    <t>Net Income</t>
  </si>
  <si>
    <t>EBIT</t>
  </si>
  <si>
    <t>Actuals</t>
  </si>
  <si>
    <t>Forecasts</t>
  </si>
  <si>
    <t>Total Revenue</t>
  </si>
  <si>
    <t>P&amp;L source</t>
  </si>
  <si>
    <t>P&amp;L assumptions</t>
  </si>
  <si>
    <t>Selected case</t>
  </si>
  <si>
    <t>Case scenarios:</t>
  </si>
  <si>
    <t>Case 1: Best case</t>
  </si>
  <si>
    <t>Case 2: Base case</t>
  </si>
  <si>
    <t>Case 3: Worst case</t>
  </si>
  <si>
    <t>y-o-y growth %</t>
  </si>
  <si>
    <t>Case 1</t>
  </si>
  <si>
    <t>Case 2</t>
  </si>
  <si>
    <t>Case 3</t>
  </si>
  <si>
    <t>% of Revenue</t>
  </si>
  <si>
    <t>% of EBT</t>
  </si>
  <si>
    <t>Trade Receivables</t>
  </si>
  <si>
    <t>Inventory</t>
  </si>
  <si>
    <t>Other assets</t>
  </si>
  <si>
    <t>Trade Payables</t>
  </si>
  <si>
    <t>Provisions</t>
  </si>
  <si>
    <t>Financial Liabilities</t>
  </si>
  <si>
    <t>Other liabilities</t>
  </si>
  <si>
    <t>2.Output --&gt;</t>
  </si>
  <si>
    <t>$ in millions</t>
  </si>
  <si>
    <t>Total Assets</t>
  </si>
  <si>
    <t>Total Liabilities &amp; Equity</t>
  </si>
  <si>
    <t>Days receivables (DSO)</t>
  </si>
  <si>
    <t>Days inventory (DIO)</t>
  </si>
  <si>
    <t>Days payables (DPO)</t>
  </si>
  <si>
    <t>Balance Sheet assumptions</t>
  </si>
  <si>
    <t>Fixed assets roll forward</t>
  </si>
  <si>
    <t>Capex</t>
  </si>
  <si>
    <t>Opening Equity</t>
  </si>
  <si>
    <t>Increase/decrease in Equity</t>
  </si>
  <si>
    <t>Dividend</t>
  </si>
  <si>
    <t>Closing Equity</t>
  </si>
  <si>
    <t>Dividend as % of net income</t>
  </si>
  <si>
    <t>Opening debt</t>
  </si>
  <si>
    <t>Closing debt</t>
  </si>
  <si>
    <t>New debt</t>
  </si>
  <si>
    <t>Principal repayments</t>
  </si>
  <si>
    <t>Debt to be repaid in (years)</t>
  </si>
  <si>
    <t>Interest rate</t>
  </si>
  <si>
    <t>Annual payment</t>
  </si>
  <si>
    <t>Period</t>
  </si>
  <si>
    <t>Residual debt</t>
  </si>
  <si>
    <t>Check</t>
  </si>
  <si>
    <t>P&amp;L</t>
  </si>
  <si>
    <t>Operating taxes</t>
  </si>
  <si>
    <t>Operating taxe rate</t>
  </si>
  <si>
    <t>NOPAT</t>
  </si>
  <si>
    <t>Add back D&amp;A</t>
  </si>
  <si>
    <t>Gross Cash Flow</t>
  </si>
  <si>
    <t>Investments in working capital</t>
  </si>
  <si>
    <t>BS</t>
  </si>
  <si>
    <t>Investments in other assets/liabilities</t>
  </si>
  <si>
    <t>UFCF</t>
  </si>
  <si>
    <t>Delta Oper taxes vs Taxes</t>
  </si>
  <si>
    <t>Delta Financial Liabilities</t>
  </si>
  <si>
    <t>Delta Equity incl dividends</t>
  </si>
  <si>
    <t>BS, P&amp;L</t>
  </si>
  <si>
    <t>Net Cash Flow</t>
  </si>
  <si>
    <t>Opening cash</t>
  </si>
  <si>
    <t>Closing cash</t>
  </si>
  <si>
    <t>Diff</t>
  </si>
  <si>
    <t>Delta Provisions</t>
  </si>
  <si>
    <t>DCF Valuation</t>
  </si>
  <si>
    <t>WACC</t>
  </si>
  <si>
    <t>g</t>
  </si>
  <si>
    <t>Discounting factor (WACC)</t>
  </si>
  <si>
    <t>PV of UFCF</t>
  </si>
  <si>
    <t>PV of cash flows</t>
  </si>
  <si>
    <t>Continuing value</t>
  </si>
  <si>
    <t>PV of continuing value</t>
  </si>
  <si>
    <t>Enterprise Value</t>
  </si>
  <si>
    <t>(-) Financial Liabilities</t>
  </si>
  <si>
    <t>(+) Cash</t>
  </si>
  <si>
    <t>Equity Value</t>
  </si>
  <si>
    <t>of Enterprise Value</t>
  </si>
  <si>
    <t>Perp Growth</t>
  </si>
  <si>
    <t>3.Charts --&gt;</t>
  </si>
  <si>
    <t>Revenues/EBITDA/Net Profit</t>
  </si>
  <si>
    <t>USD in millions</t>
  </si>
  <si>
    <t>Revenues</t>
  </si>
  <si>
    <t>EBITDA%</t>
  </si>
  <si>
    <t>Net Profit</t>
  </si>
  <si>
    <t>Net Profit%</t>
  </si>
  <si>
    <t>Delta Revenues</t>
  </si>
  <si>
    <t>Delta COGS</t>
  </si>
  <si>
    <t>Delta Opex</t>
  </si>
  <si>
    <t>Delta Revenues (incl other revenues)</t>
  </si>
  <si>
    <t>Working Capital</t>
  </si>
  <si>
    <t>Inventories</t>
  </si>
  <si>
    <t>DSO</t>
  </si>
  <si>
    <t>DIO</t>
  </si>
  <si>
    <t>DPO</t>
  </si>
  <si>
    <t>DCF results</t>
  </si>
  <si>
    <t>Scenario 1</t>
  </si>
  <si>
    <t>CFs in Forecast period</t>
  </si>
  <si>
    <t>Continuing Value</t>
  </si>
  <si>
    <t>Scenario 2</t>
  </si>
  <si>
    <t>Scenario 3</t>
  </si>
  <si>
    <t>1.Assumptions--&gt;</t>
  </si>
  <si>
    <t>4.Sources --&gt;</t>
  </si>
  <si>
    <t>5.Input --&gt;</t>
  </si>
  <si>
    <t>Current Assets</t>
  </si>
  <si>
    <t>Total Current Assets</t>
  </si>
  <si>
    <t>Current Liabilities</t>
  </si>
  <si>
    <t>Non-Current Assets</t>
  </si>
  <si>
    <t>Total Non-Current Assets</t>
  </si>
  <si>
    <t>Total Current Liabilities</t>
  </si>
  <si>
    <t>Non-Current Liabilities</t>
  </si>
  <si>
    <t>Total Non-Current Liabilities</t>
  </si>
  <si>
    <t>Cash from Operating Activities</t>
  </si>
  <si>
    <t>Changes in current assets</t>
  </si>
  <si>
    <t>Changes in current liabilities</t>
  </si>
  <si>
    <t>Net Cash Provided By (Used in) Operating Activities</t>
  </si>
  <si>
    <t>Cash from Investing Activities</t>
  </si>
  <si>
    <t>Net Cash Provided By (Used in) Investing Activities</t>
  </si>
  <si>
    <t>Cash from Financing Activities</t>
  </si>
  <si>
    <t>Equity (incl dividend)</t>
  </si>
  <si>
    <t>Net Cash Provided By (Used in) Financing Activities</t>
  </si>
  <si>
    <t>Opening Cash Balance</t>
  </si>
  <si>
    <t>Closing Cash Balance</t>
  </si>
  <si>
    <t>Unlevered Cash Flows</t>
  </si>
  <si>
    <t>Select from dropdown in cell C13</t>
  </si>
  <si>
    <t>Select from dropdown in cell C14</t>
  </si>
  <si>
    <t>Type of Ratio</t>
  </si>
  <si>
    <t>Liquidity Ratios</t>
  </si>
  <si>
    <t>Ratio</t>
  </si>
  <si>
    <t>Levered  &amp; Unlevered Cash Flows</t>
  </si>
  <si>
    <t>Levered Cash Flow</t>
  </si>
  <si>
    <t>Financial Ratios</t>
  </si>
  <si>
    <t>Levarage Ratios</t>
  </si>
  <si>
    <t>Efficiency Ratios</t>
  </si>
  <si>
    <t>Profitability Ratios</t>
  </si>
  <si>
    <r>
      <rPr>
        <sz val="11"/>
        <color rgb="FF0070C0"/>
        <rFont val="Calibri"/>
        <family val="2"/>
        <scheme val="minor"/>
      </rPr>
      <t>Current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(Current Assets/Current Liabilities)</t>
    </r>
  </si>
  <si>
    <r>
      <rPr>
        <sz val="11"/>
        <color rgb="FF0070C0"/>
        <rFont val="Calibri"/>
        <family val="2"/>
        <scheme val="minor"/>
      </rPr>
      <t>Quick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(Current Assets - Inventory/Current Liabilities)</t>
    </r>
  </si>
  <si>
    <r>
      <rPr>
        <sz val="11"/>
        <color rgb="FF0070C0"/>
        <rFont val="Calibri"/>
        <family val="2"/>
        <scheme val="minor"/>
      </rPr>
      <t>Cash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(Cash &amp; Cash Equivalents/Current Liabilities)</t>
    </r>
  </si>
  <si>
    <r>
      <rPr>
        <sz val="11"/>
        <color rgb="FF0070C0"/>
        <rFont val="Calibri"/>
        <family val="2"/>
        <scheme val="minor"/>
      </rPr>
      <t>Debt to Asset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(Total Debt/Total Assets)</t>
    </r>
  </si>
  <si>
    <r>
      <rPr>
        <sz val="11"/>
        <color rgb="FF0070C0"/>
        <rFont val="Calibri"/>
        <family val="2"/>
        <scheme val="minor"/>
      </rPr>
      <t>Debt to Equity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(Total Debt/Shareholder's Equity)</t>
    </r>
  </si>
  <si>
    <r>
      <rPr>
        <sz val="11"/>
        <color rgb="FF0070C0"/>
        <rFont val="Calibri"/>
        <family val="2"/>
        <scheme val="minor"/>
      </rPr>
      <t>Interest Coverage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(EBIT/Interest Expense)</t>
    </r>
  </si>
  <si>
    <r>
      <rPr>
        <sz val="11"/>
        <color rgb="FF0070C0"/>
        <rFont val="Calibri"/>
        <family val="2"/>
        <scheme val="minor"/>
      </rPr>
      <t>Asset Turnover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(Net Sales/Total Assets)</t>
    </r>
  </si>
  <si>
    <r>
      <rPr>
        <sz val="11"/>
        <color rgb="FF0070C0"/>
        <rFont val="Calibri"/>
        <family val="2"/>
        <scheme val="minor"/>
      </rPr>
      <t>Inventory Turnover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(Cost of Goods Sold/Average Inventory)</t>
    </r>
  </si>
  <si>
    <r>
      <rPr>
        <sz val="11"/>
        <color rgb="FF0070C0"/>
        <rFont val="Calibri"/>
        <family val="2"/>
        <scheme val="minor"/>
      </rPr>
      <t>Return on Assets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(Net Income/Total Assets)</t>
    </r>
  </si>
  <si>
    <r>
      <rPr>
        <sz val="11"/>
        <color rgb="FF0070C0"/>
        <rFont val="Calibri"/>
        <family val="2"/>
        <scheme val="minor"/>
      </rPr>
      <t>Return on Equity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(Net Income/Shareholder's Equity)</t>
    </r>
  </si>
  <si>
    <r>
      <rPr>
        <sz val="11"/>
        <color rgb="FF0070C0"/>
        <rFont val="Calibri"/>
        <family val="2"/>
        <scheme val="minor"/>
      </rPr>
      <t>Gross Margin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(Gross Profit/Total Revenue)</t>
    </r>
  </si>
  <si>
    <r>
      <rPr>
        <sz val="11"/>
        <color rgb="FF0070C0"/>
        <rFont val="Calibri"/>
        <family val="2"/>
        <scheme val="minor"/>
      </rPr>
      <t>Operating Margin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(EBIT/Total Revenue)</t>
    </r>
  </si>
  <si>
    <r>
      <rPr>
        <sz val="11"/>
        <color rgb="FF002060"/>
        <rFont val="Calibri"/>
        <family val="2"/>
        <scheme val="minor"/>
      </rPr>
      <t>Debt Service Coverage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(EBITDA/Interest + Principal)</t>
    </r>
  </si>
  <si>
    <t>Profit &amp; Loss account of Larsen and Toubro (in Rs. Cr.)</t>
  </si>
  <si>
    <t>12 mths</t>
  </si>
  <si>
    <t>INCOME</t>
  </si>
  <si>
    <t>Revenue From Operations [Gross]</t>
  </si>
  <si>
    <t>Less: Excise/Sevice Tax/Other Levies</t>
  </si>
  <si>
    <t>Revenue From Operations [Net]</t>
  </si>
  <si>
    <t>Total Operating Revenues</t>
  </si>
  <si>
    <t>Other Income</t>
  </si>
  <si>
    <t>EXPENSES</t>
  </si>
  <si>
    <t>Cost Of Materials Consumed</t>
  </si>
  <si>
    <t>Purchase Of Stock-In Trade</t>
  </si>
  <si>
    <t>Operating And Direct Expenses</t>
  </si>
  <si>
    <t>Changes In Inventories Of FG,WIP And Stock-In Trade</t>
  </si>
  <si>
    <t>Employee Benefit Expenses</t>
  </si>
  <si>
    <t>Finance Costs</t>
  </si>
  <si>
    <t>Depreciation And Amortisation Expenses</t>
  </si>
  <si>
    <t>Other Expenses</t>
  </si>
  <si>
    <t>Total Expenses</t>
  </si>
  <si>
    <t>Profit/Loss Before Exceptional, ExtraOrdinary Items And Tax</t>
  </si>
  <si>
    <t>Exceptional Items</t>
  </si>
  <si>
    <t>Profit/Loss Before Tax</t>
  </si>
  <si>
    <t>Tax Expenses-Continued Operations</t>
  </si>
  <si>
    <t>Current Tax</t>
  </si>
  <si>
    <t>Less: MAT Credit Entitlement</t>
  </si>
  <si>
    <t>Deferred Tax</t>
  </si>
  <si>
    <t>Tax For Earlier Years</t>
  </si>
  <si>
    <t>Total Tax Expenses</t>
  </si>
  <si>
    <t>Profit/Loss After Tax And Before ExtraOrdinary Items</t>
  </si>
  <si>
    <t>Profit/Loss From Continuing Operations</t>
  </si>
  <si>
    <t>Profit/Loss For The Period</t>
  </si>
  <si>
    <t>OTHER ADDITIONAL INFORMATION</t>
  </si>
  <si>
    <t>EARNINGS PER SHARE</t>
  </si>
  <si>
    <t>Basic EPS (Rs.)</t>
  </si>
  <si>
    <t>Diluted EPS (Rs.)</t>
  </si>
  <si>
    <t>VALUE OF IMPORTED AND INDIGENIOUS RAW MATERIALS STORES, SPARES AND LOOSE TOOLS</t>
  </si>
  <si>
    <t>Imported Raw Materials</t>
  </si>
  <si>
    <t>Indigenous Raw Materials</t>
  </si>
  <si>
    <t>STORES, SPARES AND LOOSE TOOLS</t>
  </si>
  <si>
    <t>Imported Stores And Spares</t>
  </si>
  <si>
    <t>Indigenous Stores And Spares</t>
  </si>
  <si>
    <t>DIVIDEND AND DIVIDEND PERCENTAGE</t>
  </si>
  <si>
    <t>Equity Share Dividend</t>
  </si>
  <si>
    <t>Tax On Dividend</t>
  </si>
  <si>
    <t>Equity Dividend Rate (%)</t>
  </si>
  <si>
    <r>
      <t>Source :</t>
    </r>
    <r>
      <rPr>
        <sz val="11"/>
        <color rgb="FF2869A1"/>
        <rFont val="Arial"/>
        <family val="2"/>
      </rPr>
      <t> Dion Global Solutions Limited</t>
    </r>
  </si>
  <si>
    <t>Balance Sheet of Larsen and Toubro (in Rs. Cr.)</t>
  </si>
  <si>
    <t>EQUITIES AND LIABILITIES</t>
  </si>
  <si>
    <t>SHAREHOLDER'S FUNDS</t>
  </si>
  <si>
    <t>Equity Share Capital</t>
  </si>
  <si>
    <t>Total Share Capital</t>
  </si>
  <si>
    <t>Reserves and Surplus</t>
  </si>
  <si>
    <t>Total Reserves and Surplus</t>
  </si>
  <si>
    <t>Total Shareholders Funds</t>
  </si>
  <si>
    <t>NON-CURRENT LIABILITIES</t>
  </si>
  <si>
    <t>Long Term Borrowings</t>
  </si>
  <si>
    <t>Deferred Tax Liabilities [Net]</t>
  </si>
  <si>
    <t>Other Long Term Liabilities</t>
  </si>
  <si>
    <t>Long Term Provisions</t>
  </si>
  <si>
    <t>CURRENT LIABILITIES</t>
  </si>
  <si>
    <t>Short Term Borrowings</t>
  </si>
  <si>
    <t>Other Current Liabilities</t>
  </si>
  <si>
    <t>Short Term Provisions</t>
  </si>
  <si>
    <t>Total Capital And Liabilities</t>
  </si>
  <si>
    <t>ASSETS</t>
  </si>
  <si>
    <t>NON-CURRENT ASSETS</t>
  </si>
  <si>
    <t>Tangible Assets</t>
  </si>
  <si>
    <t>Intangible Assets</t>
  </si>
  <si>
    <t>Capital Work-In-Progress</t>
  </si>
  <si>
    <t>Other Assets</t>
  </si>
  <si>
    <t>Fixed Assets</t>
  </si>
  <si>
    <t>Non-Current Investments</t>
  </si>
  <si>
    <t>Deferred Tax Assets [Net]</t>
  </si>
  <si>
    <t>Long Term Loans And Advances</t>
  </si>
  <si>
    <t>Other Non-Current Assets</t>
  </si>
  <si>
    <t>CURRENT ASSETS</t>
  </si>
  <si>
    <t>Current Investments</t>
  </si>
  <si>
    <t>Cash And Cash Equivalents</t>
  </si>
  <si>
    <t>Short Term Loans And Advances</t>
  </si>
  <si>
    <t>OtherCurrentAssets</t>
  </si>
  <si>
    <t>CONTINGENT LIABILITIES, COMMITMENTS</t>
  </si>
  <si>
    <t>Contingent Liabilities</t>
  </si>
  <si>
    <t>CIF VALUE OF IMPORTS</t>
  </si>
  <si>
    <t>Raw Materials</t>
  </si>
  <si>
    <t>Stores, Spares And Loose Tools</t>
  </si>
  <si>
    <t>Trade/Other Goods</t>
  </si>
  <si>
    <t>Capital Goods</t>
  </si>
  <si>
    <t>EXPENDITURE IN FOREIGN EXCHANGE</t>
  </si>
  <si>
    <t>Expenditure In Foreign Currency</t>
  </si>
  <si>
    <t>REMITTANCES IN FOREIGN CURRENCIES FOR DIVIDENDS</t>
  </si>
  <si>
    <t>Dividend Remittance In Foreign Currency</t>
  </si>
  <si>
    <t>--</t>
  </si>
  <si>
    <t>EARNINGS IN FOREIGN EXCHANGE</t>
  </si>
  <si>
    <t>FOB Value Of Goods</t>
  </si>
  <si>
    <t>Other Earnings</t>
  </si>
  <si>
    <t>BONUS DETAILS</t>
  </si>
  <si>
    <t>Bonus Equity Share Capital</t>
  </si>
  <si>
    <t>NON-CURRENT INVESTMENTS</t>
  </si>
  <si>
    <t>Non-Current Investments Quoted Market Value</t>
  </si>
  <si>
    <t>Non-Current Investments Unquoted Book Value</t>
  </si>
  <si>
    <t>CURRENT INVESTMENTS</t>
  </si>
  <si>
    <t>Current Investments Quoted Market Value</t>
  </si>
  <si>
    <t>Current Investments Unquoted Book Value</t>
  </si>
  <si>
    <t>Direct Expenses</t>
  </si>
  <si>
    <t>Inventory changes</t>
  </si>
  <si>
    <t>Employee Costs</t>
  </si>
  <si>
    <t>FY 2024
Actuals</t>
  </si>
  <si>
    <t>FY 2025
Actuals</t>
  </si>
  <si>
    <t>FY 2026
Actuals</t>
  </si>
  <si>
    <t>FY 2027
Forecast</t>
  </si>
  <si>
    <t>FY 2028
Forecast</t>
  </si>
  <si>
    <t>FY 2029
Forecast</t>
  </si>
  <si>
    <t>FY 2030
Forecast</t>
  </si>
  <si>
    <t>FY 2031
Forecast</t>
  </si>
  <si>
    <t>Interest/Finance Costs</t>
  </si>
  <si>
    <t>Profit &amp; Loss Statement of Larsen and Toubro</t>
  </si>
  <si>
    <t>in crores (INR)</t>
  </si>
  <si>
    <t>Balance Sheet of Larsen and Toubro</t>
  </si>
  <si>
    <t>Other Current Assets</t>
  </si>
  <si>
    <t>Short Term Loans &amp; Advances</t>
  </si>
  <si>
    <t>Opening Balance</t>
  </si>
  <si>
    <t>Closing Balance</t>
  </si>
  <si>
    <t>Capex as a % of opening balance</t>
  </si>
  <si>
    <t>Net profit/loss (40%)</t>
  </si>
  <si>
    <t>Opening balance of Reserves &amp; Surplus</t>
  </si>
  <si>
    <t>Net profit/loss (60%)</t>
  </si>
  <si>
    <t>Closing balance of Reserves &amp; Surplus</t>
  </si>
  <si>
    <t>Increase/decrease in Reserves &amp; Surplus</t>
  </si>
  <si>
    <t>Increase/Decrease in other assets</t>
  </si>
  <si>
    <t>Increase/Decrease in other liabilities</t>
  </si>
  <si>
    <t>Finance Costs/Interest Expenses</t>
  </si>
  <si>
    <t>Delta Other Non-Current Assets</t>
  </si>
  <si>
    <t>Delta Reserves &amp; Surplus</t>
  </si>
  <si>
    <t>Reserves &amp; Surplus</t>
  </si>
  <si>
    <t>Cash Flow Statement of Larsen and Toubro</t>
  </si>
  <si>
    <t>DCF/WACC assumptions</t>
  </si>
  <si>
    <t>Beta</t>
  </si>
  <si>
    <t>Risk free rate (10-Year G-Sec Rate) (%)</t>
  </si>
  <si>
    <t>Market risk premium (%)</t>
  </si>
  <si>
    <t>Cost of Equity (%) - Ke</t>
  </si>
  <si>
    <t>Cost of Debt (pre-tax) (%) - Kd</t>
  </si>
  <si>
    <t>Cost of Debt (after tax) (%) - Kd(1-t)</t>
  </si>
  <si>
    <t>Total Debt (D)</t>
  </si>
  <si>
    <t>Total Equity (E)</t>
  </si>
  <si>
    <t>Debt + Equity (Total) - (D+E)</t>
  </si>
  <si>
    <t>FY 2024</t>
  </si>
  <si>
    <t>FY 2025</t>
  </si>
  <si>
    <t>FY 2026</t>
  </si>
  <si>
    <t>FY 2027</t>
  </si>
  <si>
    <t>FY 2028</t>
  </si>
  <si>
    <t>FY 2029</t>
  </si>
  <si>
    <t>FY 2030</t>
  </si>
  <si>
    <t>FY 2031</t>
  </si>
  <si>
    <t>Equity &amp; Reserves schedule</t>
  </si>
  <si>
    <t>EBITDA FY 2026</t>
  </si>
  <si>
    <t>EBITDA Bridge</t>
  </si>
  <si>
    <t>FY 2026
Forecast</t>
  </si>
  <si>
    <t>Opening Cash Balance FY 2024</t>
  </si>
  <si>
    <t>Integrated 3-Statement + DCF Valuation Model</t>
  </si>
  <si>
    <t>LARSEN &amp; TOUBRO
FINANCIAL MODEL</t>
  </si>
  <si>
    <t>Forecast Period</t>
  </si>
  <si>
    <t>Prepared By</t>
  </si>
  <si>
    <t>Joy Deep Mukherjee</t>
  </si>
  <si>
    <t>Currency</t>
  </si>
  <si>
    <t>INR Crore</t>
  </si>
  <si>
    <t>MODEL INFORMATION</t>
  </si>
  <si>
    <t>MODEL NAVIGATION</t>
  </si>
  <si>
    <t>Valuation Method</t>
  </si>
  <si>
    <t>DCF + Multiples</t>
  </si>
  <si>
    <t>1. ASSUMPTIONS</t>
  </si>
  <si>
    <t>2. HISTORICALS</t>
  </si>
  <si>
    <t>3. FINANCIALS</t>
  </si>
  <si>
    <t>4. VALUATION</t>
  </si>
  <si>
    <t>5. SENSITIVITY</t>
  </si>
  <si>
    <t>6. OUTPUT</t>
  </si>
  <si>
    <t>Financial Statements</t>
  </si>
  <si>
    <t>3-Statement Model</t>
  </si>
  <si>
    <t>Reporting Standard</t>
  </si>
  <si>
    <t>Ind AS</t>
  </si>
  <si>
    <t>Confidential | For Educational Purposes Only</t>
  </si>
  <si>
    <t>Built in Microsoft Excel</t>
  </si>
  <si>
    <t>FY2027 – FY2031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</si>
</sst>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64" formatCode="0.0%"/>
    <numFmt numFmtId="165" formatCode="0.0"/>
    <numFmt numFmtId="166" formatCode="_ * #,##0_ ;_ * \-#,##0_ ;_ * &quot;-&quot;??_ ;_ @_ "/>
    <numFmt numFmtId="167" formatCode="_(* #,##0.00_);_(* \(#,##0.00\);_(* &quot;-&quot;??_);_(@_)"/>
    <numFmt numFmtId="168" formatCode="_ * #,##0.0_ ;_ * \-#,##0.0_ ;_ * &quot;-&quot;?_ ;_ @_ "/>
  </numFmts>
  <fonts count="4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2060"/>
      <name val="Arial"/>
      <family val="2"/>
    </font>
    <font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10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9"/>
      <color theme="0"/>
      <name val="Arial"/>
      <family val="2"/>
      <charset val="204"/>
    </font>
    <font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333333"/>
      <name val="Arial"/>
      <family val="2"/>
    </font>
    <font>
      <sz val="11"/>
      <color rgb="FF333333"/>
      <name val="Arial"/>
      <family val="2"/>
    </font>
    <font>
      <sz val="11"/>
      <color rgb="FF999999"/>
      <name val="Arial"/>
      <family val="2"/>
    </font>
    <font>
      <sz val="11"/>
      <color rgb="FF2869A1"/>
      <name val="Arial"/>
      <family val="2"/>
    </font>
    <font>
      <sz val="11"/>
      <color theme="1"/>
      <name val="Arial"/>
      <family val="2"/>
    </font>
    <font>
      <b/>
      <sz val="28"/>
      <color rgb="FF082B6F"/>
      <name val="Arial"/>
      <family val="2"/>
    </font>
    <font>
      <sz val="14"/>
      <color rgb="FF333333"/>
      <name val="Arial"/>
      <family val="2"/>
    </font>
    <font>
      <b/>
      <sz val="11"/>
      <color rgb="FF082B6F"/>
      <name val="Arial"/>
      <family val="2"/>
    </font>
    <font>
      <sz val="11"/>
      <color rgb="FF222222"/>
      <name val="Arial"/>
      <family val="2"/>
    </font>
    <font>
      <b/>
      <sz val="13"/>
      <color rgb="FF082B6F"/>
      <name val="Arial"/>
      <family val="2"/>
    </font>
    <font>
      <b/>
      <sz val="13"/>
      <color rgb="FFFFFFFF"/>
      <name val="Arial"/>
      <family val="2"/>
    </font>
    <font>
      <sz val="11"/>
      <color rgb="FF082B6F"/>
      <name val="Arial"/>
      <family val="2"/>
    </font>
    <font>
      <b/>
      <sz val="10"/>
      <color rgb="FF082B6F"/>
      <name val="Arial"/>
      <family val="2"/>
    </font>
    <font>
      <i/>
      <sz val="10"/>
      <color rgb="FF555555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0C0"/>
        <bgColor indexed="64"/>
      </patternFill>
    </fill>
    <fill>
      <patternFill patternType="lightGray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gray0625"/>
    </fill>
    <fill>
      <patternFill patternType="solid">
        <fgColor theme="3" tint="0.79998168889431442"/>
        <bgColor indexed="64"/>
      </patternFill>
    </fill>
    <fill>
      <patternFill patternType="solid">
        <fgColor rgb="FFF6F8FB"/>
        <bgColor indexed="64"/>
      </patternFill>
    </fill>
    <fill>
      <patternFill patternType="solid">
        <fgColor rgb="FFDEE4E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82B6F"/>
      </patternFill>
    </fill>
    <fill>
      <patternFill patternType="solid">
        <fgColor rgb="FFF5F7FA"/>
      </patternFill>
    </fill>
    <fill>
      <patternFill patternType="solid">
        <fgColor rgb="FFFFFFFF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7">
    <xf numFmtId="0" fontId="0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6" fillId="0" borderId="0"/>
    <xf numFmtId="167" fontId="7" fillId="0" borderId="0" applyFont="0" applyFill="0" applyBorder="0" applyAlignment="0" applyProtection="0"/>
    <xf numFmtId="0" fontId="2" fillId="0" borderId="0"/>
    <xf numFmtId="0" fontId="1" fillId="0" borderId="0"/>
  </cellStyleXfs>
  <cellXfs count="236">
    <xf numFmtId="0" fontId="0" fillId="0" borderId="0" xfId="0"/>
    <xf numFmtId="0" fontId="9" fillId="0" borderId="1" xfId="0" applyFont="1" applyBorder="1"/>
    <xf numFmtId="0" fontId="8" fillId="3" borderId="0" xfId="0" applyFont="1" applyFill="1" applyAlignment="1">
      <alignment horizontal="right"/>
    </xf>
    <xf numFmtId="166" fontId="0" fillId="0" borderId="0" xfId="1" applyNumberFormat="1" applyFont="1" applyAlignment="1">
      <alignment horizontal="right"/>
    </xf>
    <xf numFmtId="166" fontId="0" fillId="0" borderId="0" xfId="0" applyNumberFormat="1"/>
    <xf numFmtId="165" fontId="0" fillId="0" borderId="0" xfId="0" applyNumberFormat="1"/>
    <xf numFmtId="1" fontId="0" fillId="0" borderId="0" xfId="0" applyNumberFormat="1"/>
    <xf numFmtId="0" fontId="11" fillId="0" borderId="0" xfId="0" applyFont="1"/>
    <xf numFmtId="0" fontId="8" fillId="4" borderId="0" xfId="0" applyFont="1" applyFill="1" applyAlignment="1">
      <alignment horizontal="right"/>
    </xf>
    <xf numFmtId="0" fontId="0" fillId="0" borderId="1" xfId="0" applyBorder="1"/>
    <xf numFmtId="166" fontId="9" fillId="0" borderId="1" xfId="0" applyNumberFormat="1" applyFont="1" applyBorder="1" applyAlignment="1">
      <alignment horizontal="right"/>
    </xf>
    <xf numFmtId="166" fontId="9" fillId="0" borderId="1" xfId="0" applyNumberFormat="1" applyFont="1" applyBorder="1"/>
    <xf numFmtId="0" fontId="0" fillId="0" borderId="3" xfId="0" applyBorder="1"/>
    <xf numFmtId="0" fontId="8" fillId="3" borderId="3" xfId="0" applyFont="1" applyFill="1" applyBorder="1"/>
    <xf numFmtId="0" fontId="10" fillId="3" borderId="3" xfId="0" applyFont="1" applyFill="1" applyBorder="1"/>
    <xf numFmtId="166" fontId="8" fillId="3" borderId="3" xfId="0" applyNumberFormat="1" applyFont="1" applyFill="1" applyBorder="1"/>
    <xf numFmtId="38" fontId="0" fillId="0" borderId="0" xfId="1" applyNumberFormat="1" applyFont="1" applyBorder="1"/>
    <xf numFmtId="0" fontId="12" fillId="2" borderId="0" xfId="0" applyFont="1" applyFill="1" applyAlignment="1">
      <alignment horizontal="right"/>
    </xf>
    <xf numFmtId="0" fontId="13" fillId="0" borderId="0" xfId="0" applyFont="1"/>
    <xf numFmtId="166" fontId="13" fillId="0" borderId="0" xfId="1" applyNumberFormat="1" applyFont="1" applyFill="1" applyAlignment="1">
      <alignment horizontal="right"/>
    </xf>
    <xf numFmtId="38" fontId="13" fillId="0" borderId="0" xfId="1" applyNumberFormat="1" applyFont="1" applyFill="1" applyBorder="1"/>
    <xf numFmtId="0" fontId="6" fillId="0" borderId="0" xfId="0" applyFont="1"/>
    <xf numFmtId="164" fontId="13" fillId="0" borderId="0" xfId="2" applyNumberFormat="1" applyFont="1" applyFill="1" applyAlignment="1">
      <alignment horizontal="right"/>
    </xf>
    <xf numFmtId="164" fontId="0" fillId="0" borderId="0" xfId="2" applyNumberFormat="1" applyFont="1"/>
    <xf numFmtId="166" fontId="13" fillId="6" borderId="0" xfId="1" applyNumberFormat="1" applyFont="1" applyFill="1" applyAlignment="1">
      <alignment horizontal="right"/>
    </xf>
    <xf numFmtId="164" fontId="13" fillId="0" borderId="0" xfId="2" applyNumberFormat="1" applyFont="1" applyFill="1" applyBorder="1"/>
    <xf numFmtId="164" fontId="13" fillId="0" borderId="0" xfId="2" applyNumberFormat="1" applyFont="1" applyFill="1"/>
    <xf numFmtId="0" fontId="0" fillId="7" borderId="0" xfId="0" applyFill="1"/>
    <xf numFmtId="165" fontId="0" fillId="7" borderId="0" xfId="0" applyNumberFormat="1" applyFill="1"/>
    <xf numFmtId="1" fontId="0" fillId="7" borderId="0" xfId="0" applyNumberFormat="1" applyFill="1"/>
    <xf numFmtId="0" fontId="14" fillId="2" borderId="0" xfId="3" applyFont="1" applyFill="1"/>
    <xf numFmtId="0" fontId="15" fillId="2" borderId="0" xfId="3" applyFont="1" applyFill="1"/>
    <xf numFmtId="0" fontId="16" fillId="2" borderId="0" xfId="3" applyFont="1" applyFill="1"/>
    <xf numFmtId="0" fontId="18" fillId="2" borderId="4" xfId="0" applyFont="1" applyFill="1" applyBorder="1"/>
    <xf numFmtId="0" fontId="9" fillId="2" borderId="4" xfId="0" applyFont="1" applyFill="1" applyBorder="1"/>
    <xf numFmtId="15" fontId="8" fillId="3" borderId="4" xfId="0" applyNumberFormat="1" applyFont="1" applyFill="1" applyBorder="1"/>
    <xf numFmtId="15" fontId="19" fillId="3" borderId="4" xfId="0" applyNumberFormat="1" applyFont="1" applyFill="1" applyBorder="1"/>
    <xf numFmtId="15" fontId="19" fillId="4" borderId="4" xfId="0" applyNumberFormat="1" applyFont="1" applyFill="1" applyBorder="1"/>
    <xf numFmtId="0" fontId="20" fillId="0" borderId="0" xfId="0" applyFont="1"/>
    <xf numFmtId="166" fontId="13" fillId="7" borderId="0" xfId="0" applyNumberFormat="1" applyFont="1" applyFill="1"/>
    <xf numFmtId="164" fontId="13" fillId="7" borderId="0" xfId="2" applyNumberFormat="1" applyFont="1" applyFill="1"/>
    <xf numFmtId="0" fontId="13" fillId="7" borderId="0" xfId="0" applyFont="1" applyFill="1"/>
    <xf numFmtId="164" fontId="0" fillId="7" borderId="0" xfId="2" applyNumberFormat="1" applyFont="1" applyFill="1"/>
    <xf numFmtId="164" fontId="13" fillId="7" borderId="0" xfId="0" applyNumberFormat="1" applyFont="1" applyFill="1"/>
    <xf numFmtId="166" fontId="13" fillId="7" borderId="0" xfId="1" applyNumberFormat="1" applyFont="1" applyFill="1"/>
    <xf numFmtId="164" fontId="0" fillId="7" borderId="0" xfId="0" applyNumberFormat="1" applyFill="1"/>
    <xf numFmtId="0" fontId="21" fillId="0" borderId="0" xfId="0" applyFont="1"/>
    <xf numFmtId="1" fontId="0" fillId="0" borderId="3" xfId="0" applyNumberFormat="1" applyBorder="1"/>
    <xf numFmtId="1" fontId="0" fillId="7" borderId="3" xfId="0" applyNumberFormat="1" applyFill="1" applyBorder="1"/>
    <xf numFmtId="164" fontId="20" fillId="0" borderId="0" xfId="2" applyNumberFormat="1" applyFont="1"/>
    <xf numFmtId="164" fontId="20" fillId="7" borderId="0" xfId="0" applyNumberFormat="1" applyFont="1" applyFill="1"/>
    <xf numFmtId="164" fontId="0" fillId="0" borderId="0" xfId="2" applyNumberFormat="1" applyFont="1" applyFill="1"/>
    <xf numFmtId="164" fontId="0" fillId="0" borderId="0" xfId="0" applyNumberFormat="1"/>
    <xf numFmtId="164" fontId="20" fillId="0" borderId="0" xfId="0" applyNumberFormat="1" applyFont="1"/>
    <xf numFmtId="2" fontId="0" fillId="0" borderId="0" xfId="0" applyNumberFormat="1"/>
    <xf numFmtId="1" fontId="21" fillId="0" borderId="0" xfId="0" applyNumberFormat="1" applyFont="1"/>
    <xf numFmtId="164" fontId="21" fillId="0" borderId="0" xfId="2" applyNumberFormat="1" applyFont="1"/>
    <xf numFmtId="165" fontId="21" fillId="0" borderId="0" xfId="0" applyNumberFormat="1" applyFont="1"/>
    <xf numFmtId="0" fontId="17" fillId="0" borderId="2" xfId="0" applyFont="1" applyBorder="1"/>
    <xf numFmtId="1" fontId="17" fillId="0" borderId="2" xfId="0" applyNumberFormat="1" applyFont="1" applyBorder="1"/>
    <xf numFmtId="0" fontId="22" fillId="8" borderId="0" xfId="0" applyFont="1" applyFill="1"/>
    <xf numFmtId="0" fontId="0" fillId="8" borderId="0" xfId="0" applyFill="1"/>
    <xf numFmtId="165" fontId="22" fillId="8" borderId="0" xfId="0" applyNumberFormat="1" applyFont="1" applyFill="1"/>
    <xf numFmtId="38" fontId="0" fillId="0" borderId="0" xfId="0" applyNumberFormat="1"/>
    <xf numFmtId="0" fontId="18" fillId="0" borderId="1" xfId="0" applyFont="1" applyBorder="1"/>
    <xf numFmtId="0" fontId="18" fillId="0" borderId="0" xfId="0" applyFont="1"/>
    <xf numFmtId="1" fontId="18" fillId="0" borderId="1" xfId="0" applyNumberFormat="1" applyFont="1" applyBorder="1"/>
    <xf numFmtId="0" fontId="8" fillId="3" borderId="1" xfId="0" applyFont="1" applyFill="1" applyBorder="1"/>
    <xf numFmtId="0" fontId="10" fillId="3" borderId="1" xfId="0" applyFont="1" applyFill="1" applyBorder="1"/>
    <xf numFmtId="1" fontId="0" fillId="8" borderId="0" xfId="0" applyNumberFormat="1" applyFill="1"/>
    <xf numFmtId="38" fontId="0" fillId="8" borderId="0" xfId="0" applyNumberFormat="1" applyFill="1"/>
    <xf numFmtId="164" fontId="0" fillId="8" borderId="0" xfId="2" applyNumberFormat="1" applyFont="1" applyFill="1"/>
    <xf numFmtId="1" fontId="18" fillId="8" borderId="1" xfId="0" applyNumberFormat="1" applyFont="1" applyFill="1" applyBorder="1"/>
    <xf numFmtId="165" fontId="0" fillId="8" borderId="0" xfId="0" applyNumberFormat="1" applyFill="1"/>
    <xf numFmtId="0" fontId="9" fillId="0" borderId="0" xfId="0" applyFont="1"/>
    <xf numFmtId="166" fontId="0" fillId="0" borderId="0" xfId="1" applyNumberFormat="1" applyFont="1"/>
    <xf numFmtId="166" fontId="18" fillId="0" borderId="1" xfId="0" applyNumberFormat="1" applyFont="1" applyBorder="1"/>
    <xf numFmtId="166" fontId="12" fillId="9" borderId="0" xfId="0" applyNumberFormat="1" applyFont="1" applyFill="1"/>
    <xf numFmtId="164" fontId="18" fillId="0" borderId="0" xfId="2" applyNumberFormat="1" applyFont="1"/>
    <xf numFmtId="0" fontId="8" fillId="0" borderId="0" xfId="0" applyFont="1" applyAlignment="1">
      <alignment horizontal="right"/>
    </xf>
    <xf numFmtId="166" fontId="0" fillId="0" borderId="0" xfId="1" applyNumberFormat="1" applyFont="1" applyFill="1"/>
    <xf numFmtId="164" fontId="18" fillId="0" borderId="0" xfId="2" applyNumberFormat="1" applyFont="1" applyFill="1"/>
    <xf numFmtId="0" fontId="18" fillId="2" borderId="7" xfId="0" applyFont="1" applyFill="1" applyBorder="1"/>
    <xf numFmtId="0" fontId="0" fillId="0" borderId="7" xfId="0" applyBorder="1"/>
    <xf numFmtId="0" fontId="8" fillId="4" borderId="7" xfId="0" applyFont="1" applyFill="1" applyBorder="1" applyAlignment="1">
      <alignment horizontal="right" vertical="center" wrapText="1"/>
    </xf>
    <xf numFmtId="0" fontId="8" fillId="3" borderId="7" xfId="0" applyFont="1" applyFill="1" applyBorder="1" applyAlignment="1">
      <alignment horizontal="right" vertical="center" wrapText="1"/>
    </xf>
    <xf numFmtId="0" fontId="23" fillId="0" borderId="0" xfId="0" applyFont="1"/>
    <xf numFmtId="0" fontId="5" fillId="0" borderId="0" xfId="0" applyFont="1"/>
    <xf numFmtId="0" fontId="24" fillId="0" borderId="0" xfId="0" applyFont="1"/>
    <xf numFmtId="1" fontId="13" fillId="0" borderId="0" xfId="2" applyNumberFormat="1" applyFont="1"/>
    <xf numFmtId="0" fontId="10" fillId="10" borderId="0" xfId="0" applyFont="1" applyFill="1"/>
    <xf numFmtId="0" fontId="23" fillId="10" borderId="0" xfId="0" applyFont="1" applyFill="1"/>
    <xf numFmtId="0" fontId="18" fillId="0" borderId="7" xfId="0" applyFont="1" applyBorder="1"/>
    <xf numFmtId="1" fontId="0" fillId="0" borderId="0" xfId="1" applyNumberFormat="1" applyFont="1"/>
    <xf numFmtId="166" fontId="0" fillId="8" borderId="0" xfId="1" applyNumberFormat="1" applyFont="1" applyFill="1"/>
    <xf numFmtId="164" fontId="18" fillId="8" borderId="0" xfId="2" applyNumberFormat="1" applyFont="1" applyFill="1"/>
    <xf numFmtId="1" fontId="0" fillId="8" borderId="0" xfId="1" applyNumberFormat="1" applyFont="1" applyFill="1"/>
    <xf numFmtId="1" fontId="13" fillId="8" borderId="0" xfId="2" applyNumberFormat="1" applyFont="1" applyFill="1"/>
    <xf numFmtId="1" fontId="8" fillId="0" borderId="1" xfId="0" applyNumberFormat="1" applyFont="1" applyBorder="1"/>
    <xf numFmtId="166" fontId="0" fillId="8" borderId="0" xfId="1" applyNumberFormat="1" applyFont="1" applyFill="1" applyAlignment="1">
      <alignment horizontal="right"/>
    </xf>
    <xf numFmtId="166" fontId="9" fillId="8" borderId="1" xfId="0" applyNumberFormat="1" applyFont="1" applyFill="1" applyBorder="1" applyAlignment="1">
      <alignment horizontal="right"/>
    </xf>
    <xf numFmtId="38" fontId="0" fillId="8" borderId="0" xfId="1" applyNumberFormat="1" applyFont="1" applyFill="1" applyBorder="1"/>
    <xf numFmtId="166" fontId="9" fillId="8" borderId="1" xfId="0" applyNumberFormat="1" applyFont="1" applyFill="1" applyBorder="1"/>
    <xf numFmtId="15" fontId="8" fillId="0" borderId="0" xfId="0" applyNumberFormat="1" applyFont="1" applyAlignment="1">
      <alignment vertical="center"/>
    </xf>
    <xf numFmtId="15" fontId="19" fillId="0" borderId="0" xfId="0" applyNumberFormat="1" applyFont="1" applyAlignment="1">
      <alignment vertical="center"/>
    </xf>
    <xf numFmtId="0" fontId="12" fillId="0" borderId="0" xfId="0" applyFont="1"/>
    <xf numFmtId="15" fontId="19" fillId="8" borderId="0" xfId="0" applyNumberFormat="1" applyFont="1" applyFill="1" applyAlignment="1">
      <alignment vertical="center"/>
    </xf>
    <xf numFmtId="0" fontId="0" fillId="0" borderId="8" xfId="0" applyBorder="1"/>
    <xf numFmtId="0" fontId="9" fillId="0" borderId="8" xfId="0" applyFont="1" applyBorder="1"/>
    <xf numFmtId="1" fontId="9" fillId="0" borderId="0" xfId="0" applyNumberFormat="1" applyFont="1"/>
    <xf numFmtId="1" fontId="9" fillId="8" borderId="0" xfId="0" applyNumberFormat="1" applyFont="1" applyFill="1"/>
    <xf numFmtId="0" fontId="27" fillId="0" borderId="7" xfId="0" applyFont="1" applyBorder="1"/>
    <xf numFmtId="0" fontId="27" fillId="0" borderId="0" xfId="0" applyFont="1"/>
    <xf numFmtId="1" fontId="26" fillId="0" borderId="0" xfId="1" applyNumberFormat="1" applyFont="1" applyBorder="1"/>
    <xf numFmtId="1" fontId="26" fillId="8" borderId="0" xfId="1" applyNumberFormat="1" applyFont="1" applyFill="1" applyBorder="1"/>
    <xf numFmtId="0" fontId="12" fillId="0" borderId="8" xfId="0" applyFont="1" applyBorder="1"/>
    <xf numFmtId="1" fontId="12" fillId="0" borderId="0" xfId="0" applyNumberFormat="1" applyFont="1"/>
    <xf numFmtId="1" fontId="12" fillId="8" borderId="0" xfId="0" applyNumberFormat="1" applyFont="1" applyFill="1"/>
    <xf numFmtId="0" fontId="27" fillId="0" borderId="3" xfId="0" applyFont="1" applyBorder="1"/>
    <xf numFmtId="0" fontId="8" fillId="0" borderId="0" xfId="0" applyFont="1" applyAlignment="1">
      <alignment horizontal="right" vertical="center" wrapText="1"/>
    </xf>
    <xf numFmtId="0" fontId="26" fillId="0" borderId="0" xfId="0" applyFont="1"/>
    <xf numFmtId="0" fontId="4" fillId="0" borderId="0" xfId="0" applyFont="1"/>
    <xf numFmtId="0" fontId="8" fillId="3" borderId="0" xfId="0" applyFont="1" applyFill="1"/>
    <xf numFmtId="0" fontId="0" fillId="11" borderId="0" xfId="0" applyFill="1"/>
    <xf numFmtId="166" fontId="9" fillId="0" borderId="0" xfId="1" applyNumberFormat="1" applyFont="1"/>
    <xf numFmtId="165" fontId="0" fillId="0" borderId="2" xfId="0" applyNumberFormat="1" applyBorder="1" applyAlignment="1">
      <alignment horizontal="right" vertical="center"/>
    </xf>
    <xf numFmtId="165" fontId="0" fillId="0" borderId="10" xfId="0" applyNumberFormat="1" applyBorder="1" applyAlignment="1">
      <alignment horizontal="right" vertical="center"/>
    </xf>
    <xf numFmtId="1" fontId="8" fillId="3" borderId="7" xfId="0" applyNumberFormat="1" applyFont="1" applyFill="1" applyBorder="1" applyAlignment="1">
      <alignment horizontal="right"/>
    </xf>
    <xf numFmtId="168" fontId="0" fillId="0" borderId="0" xfId="0" applyNumberFormat="1"/>
    <xf numFmtId="0" fontId="3" fillId="0" borderId="2" xfId="0" applyFont="1" applyBorder="1" applyAlignment="1">
      <alignment vertical="center" wrapText="1"/>
    </xf>
    <xf numFmtId="0" fontId="3" fillId="0" borderId="10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164" fontId="0" fillId="0" borderId="10" xfId="2" applyNumberFormat="1" applyFont="1" applyBorder="1" applyAlignment="1">
      <alignment horizontal="right" vertical="center"/>
    </xf>
    <xf numFmtId="165" fontId="0" fillId="8" borderId="2" xfId="0" applyNumberFormat="1" applyFill="1" applyBorder="1" applyAlignment="1">
      <alignment horizontal="right" vertical="center"/>
    </xf>
    <xf numFmtId="165" fontId="0" fillId="8" borderId="10" xfId="0" applyNumberFormat="1" applyFill="1" applyBorder="1" applyAlignment="1">
      <alignment horizontal="right" vertical="center"/>
    </xf>
    <xf numFmtId="164" fontId="0" fillId="8" borderId="10" xfId="2" applyNumberFormat="1" applyFont="1" applyFill="1" applyBorder="1" applyAlignment="1">
      <alignment horizontal="right" vertical="center"/>
    </xf>
    <xf numFmtId="0" fontId="18" fillId="0" borderId="14" xfId="0" applyFont="1" applyBorder="1" applyAlignment="1">
      <alignment horizontal="center"/>
    </xf>
    <xf numFmtId="0" fontId="18" fillId="0" borderId="9" xfId="0" applyFont="1" applyBorder="1" applyAlignment="1">
      <alignment horizontal="center"/>
    </xf>
    <xf numFmtId="0" fontId="29" fillId="12" borderId="15" xfId="5" applyFont="1" applyFill="1" applyBorder="1" applyAlignment="1">
      <alignment horizontal="left" vertical="top" wrapText="1"/>
    </xf>
    <xf numFmtId="17" fontId="29" fillId="12" borderId="15" xfId="5" applyNumberFormat="1" applyFont="1" applyFill="1" applyBorder="1" applyAlignment="1">
      <alignment horizontal="right" vertical="top" wrapText="1"/>
    </xf>
    <xf numFmtId="0" fontId="29" fillId="12" borderId="15" xfId="5" applyFont="1" applyFill="1" applyBorder="1" applyAlignment="1">
      <alignment horizontal="right" vertical="top" wrapText="1"/>
    </xf>
    <xf numFmtId="0" fontId="2" fillId="0" borderId="0" xfId="5"/>
    <xf numFmtId="0" fontId="30" fillId="0" borderId="16" xfId="5" applyFont="1" applyBorder="1" applyAlignment="1">
      <alignment horizontal="left" vertical="top" wrapText="1"/>
    </xf>
    <xf numFmtId="0" fontId="30" fillId="0" borderId="17" xfId="5" applyFont="1" applyBorder="1" applyAlignment="1">
      <alignment horizontal="right" vertical="top" wrapText="1"/>
    </xf>
    <xf numFmtId="0" fontId="29" fillId="13" borderId="16" xfId="5" applyFont="1" applyFill="1" applyBorder="1" applyAlignment="1">
      <alignment horizontal="left" vertical="top" wrapText="1"/>
    </xf>
    <xf numFmtId="0" fontId="29" fillId="13" borderId="17" xfId="5" applyFont="1" applyFill="1" applyBorder="1" applyAlignment="1">
      <alignment horizontal="right" vertical="top" wrapText="1"/>
    </xf>
    <xf numFmtId="0" fontId="29" fillId="12" borderId="16" xfId="5" applyFont="1" applyFill="1" applyBorder="1" applyAlignment="1">
      <alignment horizontal="left" vertical="top" wrapText="1"/>
    </xf>
    <xf numFmtId="4" fontId="29" fillId="12" borderId="17" xfId="5" applyNumberFormat="1" applyFont="1" applyFill="1" applyBorder="1" applyAlignment="1">
      <alignment horizontal="right" vertical="top" wrapText="1"/>
    </xf>
    <xf numFmtId="0" fontId="29" fillId="12" borderId="17" xfId="5" applyFont="1" applyFill="1" applyBorder="1" applyAlignment="1">
      <alignment horizontal="right" vertical="top" wrapText="1"/>
    </xf>
    <xf numFmtId="4" fontId="30" fillId="0" borderId="17" xfId="5" applyNumberFormat="1" applyFont="1" applyBorder="1" applyAlignment="1">
      <alignment horizontal="right" vertical="top" wrapText="1"/>
    </xf>
    <xf numFmtId="0" fontId="30" fillId="0" borderId="18" xfId="5" applyFont="1" applyBorder="1" applyAlignment="1">
      <alignment horizontal="left" vertical="top" wrapText="1"/>
    </xf>
    <xf numFmtId="4" fontId="30" fillId="0" borderId="0" xfId="5" applyNumberFormat="1" applyFont="1" applyAlignment="1">
      <alignment horizontal="right" vertical="top" wrapText="1"/>
    </xf>
    <xf numFmtId="0" fontId="30" fillId="0" borderId="0" xfId="5" applyFont="1" applyAlignment="1">
      <alignment horizontal="right" vertical="top" wrapText="1"/>
    </xf>
    <xf numFmtId="0" fontId="31" fillId="0" borderId="0" xfId="5" applyFont="1" applyAlignment="1">
      <alignment vertical="center" wrapText="1"/>
    </xf>
    <xf numFmtId="38" fontId="9" fillId="0" borderId="0" xfId="1" applyNumberFormat="1" applyFont="1" applyBorder="1"/>
    <xf numFmtId="4" fontId="2" fillId="0" borderId="0" xfId="5" applyNumberFormat="1"/>
    <xf numFmtId="166" fontId="0" fillId="7" borderId="0" xfId="1" applyNumberFormat="1" applyFont="1" applyFill="1"/>
    <xf numFmtId="166" fontId="9" fillId="8" borderId="3" xfId="1" applyNumberFormat="1" applyFont="1" applyFill="1" applyBorder="1"/>
    <xf numFmtId="166" fontId="9" fillId="0" borderId="8" xfId="1" applyNumberFormat="1" applyFont="1" applyBorder="1"/>
    <xf numFmtId="166" fontId="9" fillId="8" borderId="8" xfId="1" applyNumberFormat="1" applyFont="1" applyFill="1" applyBorder="1"/>
    <xf numFmtId="0" fontId="2" fillId="0" borderId="0" xfId="0" applyFont="1"/>
    <xf numFmtId="166" fontId="2" fillId="0" borderId="0" xfId="1" applyNumberFormat="1" applyFont="1"/>
    <xf numFmtId="166" fontId="26" fillId="0" borderId="7" xfId="1" applyNumberFormat="1" applyFont="1" applyBorder="1"/>
    <xf numFmtId="166" fontId="26" fillId="8" borderId="7" xfId="1" applyNumberFormat="1" applyFont="1" applyFill="1" applyBorder="1"/>
    <xf numFmtId="166" fontId="12" fillId="0" borderId="8" xfId="1" applyNumberFormat="1" applyFont="1" applyBorder="1"/>
    <xf numFmtId="166" fontId="12" fillId="8" borderId="8" xfId="1" applyNumberFormat="1" applyFont="1" applyFill="1" applyBorder="1"/>
    <xf numFmtId="166" fontId="13" fillId="0" borderId="0" xfId="1" applyNumberFormat="1" applyFont="1"/>
    <xf numFmtId="166" fontId="12" fillId="8" borderId="0" xfId="1" applyNumberFormat="1" applyFont="1" applyFill="1"/>
    <xf numFmtId="166" fontId="13" fillId="0" borderId="0" xfId="1" applyNumberFormat="1" applyFont="1" applyBorder="1"/>
    <xf numFmtId="166" fontId="13" fillId="8" borderId="0" xfId="1" applyNumberFormat="1" applyFont="1" applyFill="1" applyBorder="1"/>
    <xf numFmtId="166" fontId="26" fillId="0" borderId="3" xfId="1" applyNumberFormat="1" applyFont="1" applyBorder="1"/>
    <xf numFmtId="166" fontId="26" fillId="8" borderId="3" xfId="1" applyNumberFormat="1" applyFont="1" applyFill="1" applyBorder="1"/>
    <xf numFmtId="166" fontId="2" fillId="8" borderId="0" xfId="1" applyNumberFormat="1" applyFont="1" applyFill="1"/>
    <xf numFmtId="43" fontId="0" fillId="0" borderId="0" xfId="0" applyNumberFormat="1"/>
    <xf numFmtId="166" fontId="13" fillId="8" borderId="0" xfId="1" applyNumberFormat="1" applyFont="1" applyFill="1"/>
    <xf numFmtId="166" fontId="18" fillId="0" borderId="1" xfId="1" applyNumberFormat="1" applyFont="1" applyBorder="1"/>
    <xf numFmtId="166" fontId="18" fillId="8" borderId="1" xfId="1" applyNumberFormat="1" applyFont="1" applyFill="1" applyBorder="1"/>
    <xf numFmtId="166" fontId="18" fillId="0" borderId="0" xfId="1" applyNumberFormat="1" applyFont="1"/>
    <xf numFmtId="166" fontId="18" fillId="8" borderId="0" xfId="1" applyNumberFormat="1" applyFont="1" applyFill="1"/>
    <xf numFmtId="166" fontId="8" fillId="3" borderId="1" xfId="1" applyNumberFormat="1" applyFont="1" applyFill="1" applyBorder="1"/>
    <xf numFmtId="166" fontId="8" fillId="4" borderId="1" xfId="1" applyNumberFormat="1" applyFont="1" applyFill="1" applyBorder="1"/>
    <xf numFmtId="166" fontId="9" fillId="8" borderId="0" xfId="1" applyNumberFormat="1" applyFont="1" applyFill="1"/>
    <xf numFmtId="38" fontId="0" fillId="0" borderId="2" xfId="0" applyNumberFormat="1" applyBorder="1"/>
    <xf numFmtId="38" fontId="0" fillId="8" borderId="2" xfId="0" applyNumberFormat="1" applyFill="1" applyBorder="1"/>
    <xf numFmtId="38" fontId="0" fillId="0" borderId="1" xfId="0" applyNumberFormat="1" applyBorder="1"/>
    <xf numFmtId="38" fontId="0" fillId="8" borderId="1" xfId="0" applyNumberFormat="1" applyFill="1" applyBorder="1"/>
    <xf numFmtId="166" fontId="8" fillId="3" borderId="0" xfId="1" applyNumberFormat="1" applyFont="1" applyFill="1"/>
    <xf numFmtId="166" fontId="8" fillId="4" borderId="0" xfId="1" applyNumberFormat="1" applyFont="1" applyFill="1"/>
    <xf numFmtId="166" fontId="0" fillId="11" borderId="0" xfId="1" applyNumberFormat="1" applyFont="1" applyFill="1"/>
    <xf numFmtId="38" fontId="0" fillId="11" borderId="0" xfId="0" applyNumberFormat="1" applyFill="1"/>
    <xf numFmtId="0" fontId="0" fillId="14" borderId="0" xfId="0" applyFill="1"/>
    <xf numFmtId="166" fontId="0" fillId="14" borderId="0" xfId="1" applyNumberFormat="1" applyFont="1" applyFill="1"/>
    <xf numFmtId="0" fontId="26" fillId="0" borderId="7" xfId="0" applyFont="1" applyBorder="1"/>
    <xf numFmtId="0" fontId="26" fillId="0" borderId="3" xfId="0" applyFont="1" applyBorder="1"/>
    <xf numFmtId="166" fontId="0" fillId="0" borderId="1" xfId="1" applyNumberFormat="1" applyFont="1" applyBorder="1"/>
    <xf numFmtId="164" fontId="9" fillId="0" borderId="0" xfId="2" applyNumberFormat="1" applyFont="1"/>
    <xf numFmtId="164" fontId="8" fillId="3" borderId="0" xfId="2" applyNumberFormat="1" applyFont="1" applyFill="1" applyAlignment="1">
      <alignment horizontal="center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64" fontId="0" fillId="0" borderId="0" xfId="2" applyNumberFormat="1" applyFont="1" applyAlignment="1">
      <alignment vertical="center"/>
    </xf>
    <xf numFmtId="166" fontId="0" fillId="0" borderId="0" xfId="1" applyNumberFormat="1" applyFont="1" applyAlignment="1">
      <alignment vertical="center"/>
    </xf>
    <xf numFmtId="164" fontId="8" fillId="3" borderId="6" xfId="2" applyNumberFormat="1" applyFont="1" applyFill="1" applyBorder="1" applyAlignment="1">
      <alignment horizontal="center"/>
    </xf>
    <xf numFmtId="164" fontId="8" fillId="3" borderId="5" xfId="2" applyNumberFormat="1" applyFont="1" applyFill="1" applyBorder="1" applyAlignment="1">
      <alignment horizontal="center"/>
    </xf>
    <xf numFmtId="164" fontId="9" fillId="0" borderId="0" xfId="0" applyNumberFormat="1" applyFont="1"/>
    <xf numFmtId="166" fontId="9" fillId="0" borderId="1" xfId="1" applyNumberFormat="1" applyFont="1" applyBorder="1" applyAlignment="1">
      <alignment vertical="center"/>
    </xf>
    <xf numFmtId="1" fontId="8" fillId="4" borderId="7" xfId="0" applyNumberFormat="1" applyFont="1" applyFill="1" applyBorder="1" applyAlignment="1">
      <alignment horizontal="right"/>
    </xf>
    <xf numFmtId="2" fontId="0" fillId="0" borderId="10" xfId="0" applyNumberFormat="1" applyBorder="1" applyAlignment="1">
      <alignment horizontal="right" vertical="center"/>
    </xf>
    <xf numFmtId="2" fontId="0" fillId="8" borderId="10" xfId="0" applyNumberFormat="1" applyFill="1" applyBorder="1" applyAlignment="1">
      <alignment horizontal="right" vertical="center"/>
    </xf>
    <xf numFmtId="0" fontId="13" fillId="10" borderId="0" xfId="0" applyFont="1" applyFill="1"/>
    <xf numFmtId="0" fontId="8" fillId="5" borderId="0" xfId="0" applyFont="1" applyFill="1" applyAlignment="1" applyProtection="1">
      <alignment horizontal="center"/>
      <protection locked="0"/>
    </xf>
    <xf numFmtId="0" fontId="8" fillId="3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33" fillId="15" borderId="0" xfId="6" applyFont="1" applyFill="1"/>
    <xf numFmtId="0" fontId="33" fillId="0" borderId="0" xfId="6" applyFont="1"/>
    <xf numFmtId="0" fontId="33" fillId="16" borderId="0" xfId="6" applyFont="1" applyFill="1"/>
    <xf numFmtId="0" fontId="34" fillId="16" borderId="0" xfId="6" applyFont="1" applyFill="1" applyAlignment="1">
      <alignment horizontal="left" vertical="center" wrapText="1"/>
    </xf>
    <xf numFmtId="0" fontId="33" fillId="0" borderId="0" xfId="6" applyFont="1"/>
    <xf numFmtId="0" fontId="35" fillId="16" borderId="0" xfId="6" applyFont="1" applyFill="1" applyAlignment="1">
      <alignment horizontal="left" vertical="center"/>
    </xf>
    <xf numFmtId="0" fontId="36" fillId="16" borderId="0" xfId="6" applyFont="1" applyFill="1"/>
    <xf numFmtId="0" fontId="37" fillId="16" borderId="0" xfId="6" applyFont="1" applyFill="1"/>
    <xf numFmtId="0" fontId="38" fillId="17" borderId="19" xfId="6" applyFont="1" applyFill="1" applyBorder="1" applyAlignment="1">
      <alignment horizontal="center" vertical="center" wrapText="1"/>
    </xf>
    <xf numFmtId="0" fontId="33" fillId="0" borderId="19" xfId="6" applyFont="1" applyBorder="1"/>
    <xf numFmtId="0" fontId="39" fillId="15" borderId="0" xfId="6" applyFont="1" applyFill="1" applyAlignment="1">
      <alignment horizontal="left" vertical="center"/>
    </xf>
    <xf numFmtId="0" fontId="29" fillId="17" borderId="19" xfId="6" applyFont="1" applyFill="1" applyBorder="1"/>
    <xf numFmtId="0" fontId="33" fillId="17" borderId="19" xfId="6" applyFont="1" applyFill="1" applyBorder="1"/>
    <xf numFmtId="0" fontId="40" fillId="17" borderId="19" xfId="6" applyFont="1" applyFill="1" applyBorder="1"/>
    <xf numFmtId="0" fontId="41" fillId="16" borderId="0" xfId="6" applyFont="1" applyFill="1" applyAlignment="1">
      <alignment horizontal="center"/>
    </xf>
    <xf numFmtId="0" fontId="42" fillId="16" borderId="0" xfId="6" applyFont="1" applyFill="1"/>
    <xf numFmtId="0" fontId="42" fillId="16" borderId="0" xfId="6" applyFont="1" applyFill="1" applyAlignment="1">
      <alignment horizontal="right"/>
    </xf>
  </cellXfs>
  <cellStyles count="7">
    <cellStyle name="Comma" xfId="1" builtinId="3"/>
    <cellStyle name="Comma 2" xfId="4" xr:uid="{EE2D889E-212A-48A9-B5A1-315396568C8D}"/>
    <cellStyle name="Normal" xfId="0" builtinId="0"/>
    <cellStyle name="Normal 2" xfId="3" xr:uid="{50B50819-B111-4D77-B62C-1F325FD2BE8D}"/>
    <cellStyle name="Normal 3" xfId="5" xr:uid="{E0C777BE-BB02-4B85-940C-C90C57058A0F}"/>
    <cellStyle name="Normal 4" xfId="6" xr:uid="{E423B773-7182-47F0-BCD8-83C8F7177A6A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Profitability!$B$4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5FD6-483F-BC1F-FAE62BBB4CA0}"/>
              </c:ext>
            </c:extLst>
          </c:dPt>
          <c:dPt>
            <c:idx val="1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FD6-483F-BC1F-FAE62BBB4CA0}"/>
              </c:ext>
            </c:extLst>
          </c:dPt>
          <c:dPt>
            <c:idx val="2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5FD6-483F-BC1F-FAE62BBB4CA0}"/>
              </c:ext>
            </c:extLst>
          </c:dPt>
          <c:dLbls>
            <c:spPr>
              <a:solidFill>
                <a:schemeClr val="tx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Profitability!$C$3:$K$3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Profitability!$C$4:$K$4</c:f>
              <c:numCache>
                <c:formatCode>_ * #,##0_ ;_ * \-#,##0_ ;_ * "-"??_ ;_ @_ </c:formatCode>
                <c:ptCount val="9"/>
                <c:pt idx="0">
                  <c:v>126235.85</c:v>
                </c:pt>
                <c:pt idx="1">
                  <c:v>142509.01</c:v>
                </c:pt>
                <c:pt idx="2">
                  <c:v>153680.17000000001</c:v>
                </c:pt>
                <c:pt idx="4">
                  <c:v>167511.38530000002</c:v>
                </c:pt>
                <c:pt idx="5">
                  <c:v>182587.40997700003</c:v>
                </c:pt>
                <c:pt idx="6">
                  <c:v>199020.27687493004</c:v>
                </c:pt>
                <c:pt idx="7">
                  <c:v>216932.10179367376</c:v>
                </c:pt>
                <c:pt idx="8">
                  <c:v>236455.99095510441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D6-483F-BC1F-FAE62BBB4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1178493760"/>
        <c:axId val="1178498080"/>
      </c:barChart>
      <c:lineChart>
        <c:grouping val="standard"/>
        <c:varyColors val="0"/>
        <c:ser>
          <c:idx val="1"/>
          <c:order val="1"/>
          <c:tx>
            <c:strRef>
              <c:f>Profitability!$B$6</c:f>
              <c:strCache>
                <c:ptCount val="1"/>
                <c:pt idx="0">
                  <c:v>EBITDA%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2"/>
              </a:solidFill>
              <a:ln w="12700" cap="flat" cmpd="sng" algn="ctr">
                <a:solidFill>
                  <a:schemeClr val="accent2">
                    <a:shade val="15000"/>
                  </a:schemeClr>
                </a:solidFill>
                <a:prstDash val="solid"/>
                <a:miter lim="800000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Profitability!$C$3:$K$3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Profitability!$C$6:$K$6</c:f>
              <c:numCache>
                <c:formatCode>0.0%</c:formatCode>
                <c:ptCount val="9"/>
                <c:pt idx="0">
                  <c:v>0.12257334188346658</c:v>
                </c:pt>
                <c:pt idx="1">
                  <c:v>0.12442890453031709</c:v>
                </c:pt>
                <c:pt idx="2">
                  <c:v>8.3303135336198736E-2</c:v>
                </c:pt>
                <c:pt idx="4">
                  <c:v>0.14244230361278004</c:v>
                </c:pt>
                <c:pt idx="5">
                  <c:v>0.14200705312091985</c:v>
                </c:pt>
                <c:pt idx="6">
                  <c:v>0.14157579575283782</c:v>
                </c:pt>
                <c:pt idx="7">
                  <c:v>0.14114849487437148</c:v>
                </c:pt>
                <c:pt idx="8">
                  <c:v>0.14072511418745068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D6-483F-BC1F-FAE62BBB4CA0}"/>
            </c:ext>
          </c:extLst>
        </c:ser>
        <c:ser>
          <c:idx val="2"/>
          <c:order val="2"/>
          <c:tx>
            <c:strRef>
              <c:f>Profitability!$B$8</c:f>
              <c:strCache>
                <c:ptCount val="1"/>
                <c:pt idx="0">
                  <c:v>Net Profit%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3"/>
              </a:solidFill>
              <a:ln w="12700" cap="flat" cmpd="sng" algn="ctr">
                <a:solidFill>
                  <a:schemeClr val="accent3">
                    <a:shade val="15000"/>
                  </a:schemeClr>
                </a:solidFill>
                <a:prstDash val="solid"/>
                <a:miter lim="800000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Profitability!$C$3:$K$3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Profitability!$C$8:$K$8</c:f>
              <c:numCache>
                <c:formatCode>0.0%</c:formatCode>
                <c:ptCount val="9"/>
                <c:pt idx="0">
                  <c:v>7.3705924267947698E-2</c:v>
                </c:pt>
                <c:pt idx="1">
                  <c:v>7.628093128988829E-2</c:v>
                </c:pt>
                <c:pt idx="2">
                  <c:v>4.0910483115681288E-2</c:v>
                </c:pt>
                <c:pt idx="4">
                  <c:v>0.1047636943743991</c:v>
                </c:pt>
                <c:pt idx="5">
                  <c:v>0.10561988485870684</c:v>
                </c:pt>
                <c:pt idx="6">
                  <c:v>0.10628702180001659</c:v>
                </c:pt>
                <c:pt idx="7">
                  <c:v>0.1067952791840926</c:v>
                </c:pt>
                <c:pt idx="8">
                  <c:v>0.10717009051606666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D6-483F-BC1F-FAE62BBB4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4007632"/>
        <c:axId val="1274005712"/>
      </c:lineChart>
      <c:catAx>
        <c:axId val="117849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98080"/>
        <c:crosses val="autoZero"/>
        <c:auto val="1"/>
        <c:lblAlgn val="ctr"/>
        <c:lblOffset val="100"/>
        <c:noMultiLvlLbl val="0"/>
      </c:catAx>
      <c:valAx>
        <c:axId val="1178498080"/>
        <c:scaling>
          <c:orientation val="minMax"/>
          <c:max val="3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USD</a:t>
                </a:r>
                <a:r>
                  <a:rPr lang="en-IN" baseline="0"/>
                  <a:t> in millions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93760"/>
        <c:crosses val="autoZero"/>
        <c:crossBetween val="between"/>
        <c:majorUnit val="500"/>
      </c:valAx>
      <c:valAx>
        <c:axId val="127400571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4007632"/>
        <c:crosses val="max"/>
        <c:crossBetween val="between"/>
      </c:valAx>
      <c:catAx>
        <c:axId val="1274007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4005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strRef>
              <c:f>'Cash Flows'!$B$49</c:f>
              <c:strCache>
                <c:ptCount val="1"/>
                <c:pt idx="0">
                  <c:v>UFCF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cat>
            <c:strRef>
              <c:f>'Cash Flows'!$C$48:$H$48</c:f>
              <c:strCache>
                <c:ptCount val="5"/>
                <c:pt idx="0">
                  <c:v>FY 2027
Forecast</c:v>
                </c:pt>
                <c:pt idx="1">
                  <c:v>FY 2028
Forecast</c:v>
                </c:pt>
                <c:pt idx="2">
                  <c:v>FY 2029
Forecast</c:v>
                </c:pt>
                <c:pt idx="3">
                  <c:v>FY 2030
Forecast</c:v>
                </c:pt>
                <c:pt idx="4">
                  <c:v>FY 2031
Forecast</c:v>
                </c:pt>
              </c:strCache>
            </c:strRef>
          </c:cat>
          <c:val>
            <c:numRef>
              <c:f>'Cash Flows'!$C$49:$H$49</c:f>
              <c:numCache>
                <c:formatCode>0</c:formatCode>
                <c:ptCount val="6"/>
                <c:pt idx="0">
                  <c:v>3099.5169141811989</c:v>
                </c:pt>
                <c:pt idx="1">
                  <c:v>15159.725818593461</c:v>
                </c:pt>
                <c:pt idx="2">
                  <c:v>16455.999613048545</c:v>
                </c:pt>
                <c:pt idx="3">
                  <c:v>17864.12457975341</c:v>
                </c:pt>
                <c:pt idx="4">
                  <c:v>19393.916014441482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99-47B2-B297-CE0134B0DFBA}"/>
            </c:ext>
          </c:extLst>
        </c:ser>
        <c:ser>
          <c:idx val="1"/>
          <c:order val="1"/>
          <c:tx>
            <c:strRef>
              <c:f>'Cash Flows'!$B$50</c:f>
              <c:strCache>
                <c:ptCount val="1"/>
                <c:pt idx="0">
                  <c:v>PV of UFCF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cat>
            <c:strRef>
              <c:f>'Cash Flows'!$C$48:$H$48</c:f>
              <c:strCache>
                <c:ptCount val="5"/>
                <c:pt idx="0">
                  <c:v>FY 2027
Forecast</c:v>
                </c:pt>
                <c:pt idx="1">
                  <c:v>FY 2028
Forecast</c:v>
                </c:pt>
                <c:pt idx="2">
                  <c:v>FY 2029
Forecast</c:v>
                </c:pt>
                <c:pt idx="3">
                  <c:v>FY 2030
Forecast</c:v>
                </c:pt>
                <c:pt idx="4">
                  <c:v>FY 2031
Forecast</c:v>
                </c:pt>
              </c:strCache>
            </c:strRef>
          </c:cat>
          <c:val>
            <c:numRef>
              <c:f>'Cash Flows'!$C$50:$H$50</c:f>
              <c:numCache>
                <c:formatCode>0</c:formatCode>
                <c:ptCount val="6"/>
                <c:pt idx="0">
                  <c:v>2760.798174636258</c:v>
                </c:pt>
                <c:pt idx="1">
                  <c:v>12027.424617255192</c:v>
                </c:pt>
                <c:pt idx="2">
                  <c:v>11629.102914498795</c:v>
                </c:pt>
                <c:pt idx="3">
                  <c:v>11244.60832725303</c:v>
                </c:pt>
                <c:pt idx="4">
                  <c:v>10873.484831894168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99-47B2-B297-CE0134B0D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489440"/>
        <c:axId val="1178483680"/>
      </c:areaChart>
      <c:catAx>
        <c:axId val="117848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83680"/>
        <c:crosses val="autoZero"/>
        <c:auto val="1"/>
        <c:lblAlgn val="ctr"/>
        <c:lblOffset val="100"/>
        <c:noMultiLvlLbl val="0"/>
      </c:catAx>
      <c:valAx>
        <c:axId val="117848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USD</a:t>
                </a:r>
                <a:r>
                  <a:rPr lang="en-IN" baseline="0"/>
                  <a:t> in millions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89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'Working Capital'!$B$7</c:f>
              <c:strCache>
                <c:ptCount val="1"/>
                <c:pt idx="0">
                  <c:v>Working Capital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cat>
            <c:strRef>
              <c:f>'Working Capital'!$C$4:$K$4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'Working Capital'!$C$7:$K$7</c:f>
              <c:numCache>
                <c:formatCode>0</c:formatCode>
                <c:ptCount val="9"/>
                <c:pt idx="0">
                  <c:v>26642.199999999983</c:v>
                </c:pt>
                <c:pt idx="1">
                  <c:v>28463.500000000015</c:v>
                </c:pt>
                <c:pt idx="2">
                  <c:v>37525.850000000006</c:v>
                </c:pt>
                <c:pt idx="4">
                  <c:v>46814.765575087367</c:v>
                </c:pt>
                <c:pt idx="5">
                  <c:v>57230.342694519321</c:v>
                </c:pt>
                <c:pt idx="6">
                  <c:v>68652.711085008137</c:v>
                </c:pt>
                <c:pt idx="7">
                  <c:v>81149.792987587309</c:v>
                </c:pt>
                <c:pt idx="8">
                  <c:v>94796.093163364916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BB-4F10-AC3A-398401778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505760"/>
        <c:axId val="1178505280"/>
      </c:areaChart>
      <c:barChart>
        <c:barDir val="col"/>
        <c:grouping val="clustered"/>
        <c:varyColors val="0"/>
        <c:ser>
          <c:idx val="1"/>
          <c:order val="1"/>
          <c:tx>
            <c:strRef>
              <c:f>'Working Capital'!$B$9</c:f>
              <c:strCache>
                <c:ptCount val="1"/>
                <c:pt idx="0">
                  <c:v>DSO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FCBB-4F10-AC3A-3984017784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'Working Capital'!$C$4:$K$4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'Working Capital'!$C$9:$K$9</c:f>
              <c:numCache>
                <c:formatCode>0.0</c:formatCode>
                <c:ptCount val="9"/>
                <c:pt idx="0">
                  <c:v>106.87111268312448</c:v>
                </c:pt>
                <c:pt idx="1">
                  <c:v>98.172850263993837</c:v>
                </c:pt>
                <c:pt idx="2">
                  <c:v>107.6622930596706</c:v>
                </c:pt>
                <c:pt idx="4">
                  <c:v>107.6622930596706</c:v>
                </c:pt>
                <c:pt idx="5">
                  <c:v>107.6622930596706</c:v>
                </c:pt>
                <c:pt idx="6">
                  <c:v>107.6622930596706</c:v>
                </c:pt>
                <c:pt idx="7">
                  <c:v>107.6622930596706</c:v>
                </c:pt>
                <c:pt idx="8">
                  <c:v>107.6622930596706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BB-4F10-AC3A-398401778436}"/>
            </c:ext>
          </c:extLst>
        </c:ser>
        <c:ser>
          <c:idx val="2"/>
          <c:order val="2"/>
          <c:tx>
            <c:strRef>
              <c:f>'Working Capital'!$B$10</c:f>
              <c:strCache>
                <c:ptCount val="1"/>
                <c:pt idx="0">
                  <c:v>DIO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CBB-4F10-AC3A-398401778436}"/>
                </c:ext>
              </c:extLst>
            </c:dLbl>
            <c:dLbl>
              <c:idx val="1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CBB-4F10-AC3A-398401778436}"/>
                </c:ext>
              </c:extLst>
            </c:dLbl>
            <c:dLbl>
              <c:idx val="4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CBB-4F10-AC3A-398401778436}"/>
                </c:ext>
              </c:extLst>
            </c:dLbl>
            <c:dLbl>
              <c:idx val="5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CBB-4F10-AC3A-398401778436}"/>
                </c:ext>
              </c:extLst>
            </c:dLbl>
            <c:dLbl>
              <c:idx val="6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CBB-4F10-AC3A-398401778436}"/>
                </c:ext>
              </c:extLst>
            </c:dLbl>
            <c:dLbl>
              <c:idx val="7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FCBB-4F10-AC3A-398401778436}"/>
                </c:ext>
              </c:extLst>
            </c:dLbl>
            <c:dLbl>
              <c:idx val="8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FCBB-4F10-AC3A-3984017784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'Working Capital'!$C$4:$K$4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'Working Capital'!$C$10:$K$10</c:f>
              <c:numCache>
                <c:formatCode>0.0</c:formatCode>
                <c:ptCount val="9"/>
                <c:pt idx="0">
                  <c:v>12.378530841626675</c:v>
                </c:pt>
                <c:pt idx="1">
                  <c:v>10.734559333105413</c:v>
                </c:pt>
                <c:pt idx="2">
                  <c:v>10.733792137669347</c:v>
                </c:pt>
                <c:pt idx="4">
                  <c:v>10.733792137669347</c:v>
                </c:pt>
                <c:pt idx="5">
                  <c:v>10.733792137669347</c:v>
                </c:pt>
                <c:pt idx="6">
                  <c:v>10.733792137669347</c:v>
                </c:pt>
                <c:pt idx="7">
                  <c:v>10.733792137669347</c:v>
                </c:pt>
                <c:pt idx="8">
                  <c:v>10.733792137669347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CBB-4F10-AC3A-398401778436}"/>
            </c:ext>
          </c:extLst>
        </c:ser>
        <c:ser>
          <c:idx val="3"/>
          <c:order val="3"/>
          <c:tx>
            <c:strRef>
              <c:f>'Working Capital'!$B$11</c:f>
              <c:strCache>
                <c:ptCount val="1"/>
                <c:pt idx="0">
                  <c:v>DPO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FCBB-4F10-AC3A-3984017784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'Working Capital'!$C$4:$K$4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'Working Capital'!$C$11:$K$11</c:f>
              <c:numCache>
                <c:formatCode>0.0</c:formatCode>
                <c:ptCount val="9"/>
                <c:pt idx="0">
                  <c:v>143.6017789621215</c:v>
                </c:pt>
                <c:pt idx="1">
                  <c:v>122.53193259372192</c:v>
                </c:pt>
                <c:pt idx="2">
                  <c:v>142.90854851339554</c:v>
                </c:pt>
                <c:pt idx="4">
                  <c:v>142.90854851339554</c:v>
                </c:pt>
                <c:pt idx="5">
                  <c:v>142.90854851339554</c:v>
                </c:pt>
                <c:pt idx="6">
                  <c:v>142.90854851339554</c:v>
                </c:pt>
                <c:pt idx="7">
                  <c:v>142.90854851339554</c:v>
                </c:pt>
                <c:pt idx="8">
                  <c:v>142.90854851339554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CBB-4F10-AC3A-398401778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178489440"/>
        <c:axId val="1178483680"/>
      </c:barChart>
      <c:catAx>
        <c:axId val="117848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83680"/>
        <c:crosses val="autoZero"/>
        <c:auto val="1"/>
        <c:lblAlgn val="ctr"/>
        <c:lblOffset val="100"/>
        <c:noMultiLvlLbl val="0"/>
      </c:catAx>
      <c:valAx>
        <c:axId val="117848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solidFill>
                      <a:sysClr val="windowText" lastClr="000000"/>
                    </a:solidFill>
                  </a:rPr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89440"/>
        <c:crosses val="autoZero"/>
        <c:crossBetween val="between"/>
      </c:valAx>
      <c:valAx>
        <c:axId val="117850528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solidFill>
                      <a:sysClr val="windowText" lastClr="000000"/>
                    </a:solidFill>
                  </a:rPr>
                  <a:t>USD</a:t>
                </a:r>
                <a:r>
                  <a:rPr lang="en-IN" baseline="0">
                    <a:solidFill>
                      <a:sysClr val="windowText" lastClr="000000"/>
                    </a:solidFill>
                  </a:rPr>
                  <a:t> in millions</a:t>
                </a:r>
                <a:endParaRPr lang="en-IN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505760"/>
        <c:crosses val="max"/>
        <c:crossBetween val="between"/>
      </c:valAx>
      <c:catAx>
        <c:axId val="1178505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85052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/>
              <a:t>Enterprise</a:t>
            </a:r>
            <a:r>
              <a:rPr lang="en-IN" sz="1200" baseline="0"/>
              <a:t> Value: Scenario 1</a:t>
            </a:r>
            <a:endParaRPr lang="en-IN" sz="1200"/>
          </a:p>
        </c:rich>
      </c:tx>
      <c:layout>
        <c:manualLayout>
          <c:xMode val="edge"/>
          <c:yMode val="edge"/>
          <c:x val="1.4878055973340406E-2"/>
          <c:y val="2.31080258358646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A51-45CD-98F6-87B75FB5B7E8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F3E-40DD-BAA0-D25E4F67FF4B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'DCF results'!$B$5:$B$7</c15:sqref>
                  </c15:fullRef>
                </c:ext>
              </c:extLst>
              <c:f>'DCF results'!$B$6:$B$7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'DCF results'!$C$5:$C$7</c15:sqref>
                  </c15:fullRef>
                </c:ext>
              </c:extLst>
              <c:f>'DCF results'!$C$6:$C$7</c:f>
              <c:numCache>
                <c:formatCode>0.0%</c:formatCode>
                <c:ptCount val="2"/>
                <c:pt idx="0">
                  <c:v>0.23606186045239913</c:v>
                </c:pt>
                <c:pt idx="1">
                  <c:v>0.76393813954760081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DF3E-40DD-BAA0-D25E4F67FF4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/>
              <a:t>Enterprise</a:t>
            </a:r>
            <a:r>
              <a:rPr lang="en-IN" sz="1200" baseline="0"/>
              <a:t> Value: Scenario 2</a:t>
            </a:r>
            <a:endParaRPr lang="en-IN" sz="1200"/>
          </a:p>
        </c:rich>
      </c:tx>
      <c:layout>
        <c:manualLayout>
          <c:xMode val="edge"/>
          <c:yMode val="edge"/>
          <c:x val="1.4878055973340406E-2"/>
          <c:y val="2.31080258358646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C14-4912-BEC0-50BDAD87263F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C14-4912-BEC0-50BDAD87263F}"/>
              </c:ext>
            </c:extLst>
          </c:dPt>
          <c:dPt>
            <c:idx val="2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C14-4912-BEC0-50BDAD87263F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results'!$G$6:$G$7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results'!$H$6:$H$7</c:f>
              <c:numCache>
                <c:formatCode>0.0%</c:formatCode>
                <c:ptCount val="2"/>
                <c:pt idx="0">
                  <c:v>0.2364800921304315</c:v>
                </c:pt>
                <c:pt idx="1">
                  <c:v>0.76351990786956847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14-4912-BEC0-50BDAD87263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/>
              <a:t>Enterprise</a:t>
            </a:r>
            <a:r>
              <a:rPr lang="en-IN" sz="1200" baseline="0"/>
              <a:t> Value: Scenario 3</a:t>
            </a:r>
            <a:endParaRPr lang="en-IN" sz="1200"/>
          </a:p>
        </c:rich>
      </c:tx>
      <c:layout>
        <c:manualLayout>
          <c:xMode val="edge"/>
          <c:yMode val="edge"/>
          <c:x val="1.4878055973340406E-2"/>
          <c:y val="2.31080258358646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C1-4BC2-BF8E-27BC6932C351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DB9-4091-B5AB-379082566867}"/>
              </c:ext>
            </c:extLst>
          </c:dPt>
          <c:dPt>
            <c:idx val="2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DB9-4091-B5AB-379082566867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results'!$L$6:$L$7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results'!$M$6:$M$7</c:f>
              <c:numCache>
                <c:formatCode>0.0%</c:formatCode>
                <c:ptCount val="2"/>
                <c:pt idx="0">
                  <c:v>8.7975232484939506E-2</c:v>
                </c:pt>
                <c:pt idx="1">
                  <c:v>0.91202476751506045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B9-4091-B5AB-37908256686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/>
              <a:t>Scenario 1</a:t>
            </a:r>
          </a:p>
        </c:rich>
      </c:tx>
      <c:layout>
        <c:manualLayout>
          <c:xMode val="edge"/>
          <c:yMode val="edge"/>
          <c:x val="3.1259259259259251E-2"/>
          <c:y val="3.57941750382133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316-4FB0-A354-660E6A54D9A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('DCF results'!$B$5,'DCF results'!$B$8)</c:f>
              <c:strCache>
                <c:ptCount val="2"/>
                <c:pt idx="0">
                  <c:v>Enterprise Value</c:v>
                </c:pt>
                <c:pt idx="1">
                  <c:v>Equity Value</c:v>
                </c:pt>
              </c:strCache>
            </c:strRef>
          </c:cat>
          <c:val>
            <c:numRef>
              <c:f>('DCF results'!$C$5,'DCF results'!$C$8)</c:f>
              <c:numCache>
                <c:formatCode>_ * #,##0_ ;_ * \-#,##0_ ;_ * "-"??_ ;_ @_ </c:formatCode>
                <c:ptCount val="2"/>
                <c:pt idx="0">
                  <c:v>205604.66130582074</c:v>
                </c:pt>
                <c:pt idx="1">
                  <c:v>223599.59130582074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16-4FB0-A354-660E6A54D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478400"/>
        <c:axId val="1178478880"/>
      </c:barChart>
      <c:catAx>
        <c:axId val="117847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78880"/>
        <c:crosses val="autoZero"/>
        <c:auto val="1"/>
        <c:lblAlgn val="ctr"/>
        <c:lblOffset val="100"/>
        <c:noMultiLvlLbl val="0"/>
      </c:catAx>
      <c:valAx>
        <c:axId val="11784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7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/>
              <a:t>Scenario 2</a:t>
            </a:r>
          </a:p>
        </c:rich>
      </c:tx>
      <c:layout>
        <c:manualLayout>
          <c:xMode val="edge"/>
          <c:yMode val="edge"/>
          <c:x val="3.1259259259259251E-2"/>
          <c:y val="3.57941750382133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F0A-4FAF-8B97-2B071CB5596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F0A-4FAF-8B97-2B071CB5596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0A-4FAF-8B97-2B071CB559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('DCF results'!$G$5,'DCF results'!$G$8)</c:f>
              <c:strCache>
                <c:ptCount val="2"/>
                <c:pt idx="0">
                  <c:v>Enterprise Value</c:v>
                </c:pt>
                <c:pt idx="1">
                  <c:v>Equity Value</c:v>
                </c:pt>
              </c:strCache>
            </c:strRef>
          </c:cat>
          <c:val>
            <c:numRef>
              <c:f>('DCF results'!$H$5,'DCF results'!$H$8)</c:f>
              <c:numCache>
                <c:formatCode>_ * #,##0_ ;_ * \-#,##0_ ;_ * "-"??_ ;_ @_ </c:formatCode>
                <c:ptCount val="2"/>
                <c:pt idx="0">
                  <c:v>133001.53722483275</c:v>
                </c:pt>
                <c:pt idx="1">
                  <c:v>150996.46722483274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0A-4FAF-8B97-2B071CB55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478400"/>
        <c:axId val="1178478880"/>
      </c:barChart>
      <c:catAx>
        <c:axId val="117847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78880"/>
        <c:crosses val="autoZero"/>
        <c:auto val="1"/>
        <c:lblAlgn val="ctr"/>
        <c:lblOffset val="100"/>
        <c:noMultiLvlLbl val="0"/>
      </c:catAx>
      <c:valAx>
        <c:axId val="11784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7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/>
              <a:t>Scenario 3</a:t>
            </a:r>
          </a:p>
        </c:rich>
      </c:tx>
      <c:layout>
        <c:manualLayout>
          <c:xMode val="edge"/>
          <c:yMode val="edge"/>
          <c:x val="3.1259259259259251E-2"/>
          <c:y val="3.57941750382133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79-4FF8-82C2-0B17417F1C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('DCF results'!$L$5,'DCF results'!$L$8)</c:f>
              <c:strCache>
                <c:ptCount val="2"/>
                <c:pt idx="0">
                  <c:v>Enterprise Value</c:v>
                </c:pt>
                <c:pt idx="1">
                  <c:v>Equity Value</c:v>
                </c:pt>
              </c:strCache>
            </c:strRef>
          </c:cat>
          <c:val>
            <c:numRef>
              <c:f>('DCF results'!$M$5,'DCF results'!$M$8)</c:f>
              <c:numCache>
                <c:formatCode>_ * #,##0_ ;_ * \-#,##0_ ;_ * "-"??_ ;_ @_ </c:formatCode>
                <c:ptCount val="2"/>
                <c:pt idx="0">
                  <c:v>24866.964744089917</c:v>
                </c:pt>
                <c:pt idx="1">
                  <c:v>42861.894744089936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79-4FF8-82C2-0B17417F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478400"/>
        <c:axId val="1178478880"/>
      </c:barChart>
      <c:catAx>
        <c:axId val="117847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78880"/>
        <c:crosses val="autoZero"/>
        <c:auto val="1"/>
        <c:lblAlgn val="ctr"/>
        <c:lblOffset val="100"/>
        <c:noMultiLvlLbl val="0"/>
      </c:catAx>
      <c:valAx>
        <c:axId val="11784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7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plotArea>
      <cx:plotAreaRegion>
        <cx:series layoutId="waterfall" uniqueId="{A4AF6895-4024-4B6F-81AB-E3C9236E71B0}">
          <cx:dataPt idx="0">
            <cx:spPr>
              <a:solidFill>
                <a:srgbClr val="002060"/>
              </a:solidFill>
            </cx:spPr>
          </cx:dataPt>
          <cx:dataPt idx="1">
            <cx:spPr>
              <a:solidFill>
                <a:srgbClr val="5B9BD5">
                  <a:lumMod val="75000"/>
                </a:srgbClr>
              </a:solidFill>
            </cx:spPr>
          </cx:dataPt>
          <cx:dataPt idx="2">
            <cx:spPr>
              <a:solidFill>
                <a:srgbClr val="E7E6E6">
                  <a:lumMod val="75000"/>
                </a:srgbClr>
              </a:solidFill>
            </cx:spPr>
          </cx:dataPt>
          <cx:dataPt idx="3">
            <cx:spPr>
              <a:solidFill>
                <a:srgbClr val="4472C4">
                  <a:lumMod val="60000"/>
                  <a:lumOff val="40000"/>
                </a:srgbClr>
              </a:solidFill>
            </cx:spPr>
          </cx:dataPt>
          <cx:dataPt idx="4">
            <cx:spPr>
              <a:solidFill>
                <a:srgbClr val="002060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>
                    <a:solidFill>
                      <a:schemeClr val="bg1"/>
                    </a:solidFill>
                  </a:defRPr>
                </a:pPr>
                <a:endParaRPr lang="en-US" sz="900" b="1" i="0" u="none" strike="noStrike" baseline="0">
                  <a:solidFill>
                    <a:schemeClr val="bg1"/>
                  </a:solidFill>
                  <a:latin typeface="Calibri" panose="020F0502020204030204"/>
                </a:endParaRPr>
              </a:p>
            </cx:txPr>
            <cx:visibility seriesName="0" categoryName="0" value="1"/>
          </cx:dataLabels>
          <cx:dataId val="0"/>
          <cx:layoutPr>
            <cx:visibility connectorLines="0"/>
            <cx:subtotals>
              <cx:idx val="4"/>
            </cx:subtotals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ysClr val="windowText" lastClr="000000"/>
                </a:solidFill>
              </a:defRPr>
            </a:pPr>
            <a:endParaRPr lang="en-US" sz="900" b="0" i="0" u="none" strike="noStrike" baseline="0">
              <a:solidFill>
                <a:sysClr val="windowText" lastClr="000000"/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</cx:axis>
    </cx:plotArea>
  </cx:chart>
  <cx:spPr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val">
        <cx:f>_xlchart.v1.3</cx:f>
      </cx:numDim>
    </cx:data>
  </cx:chartData>
  <cx:chart>
    <cx:plotArea>
      <cx:plotAreaRegion>
        <cx:series layoutId="waterfall" uniqueId="{7052F791-13EE-438D-9594-AE00409DE4BA}">
          <cx:spPr>
            <a:ln>
              <a:noFill/>
            </a:ln>
          </cx:spPr>
          <cx:dataPt idx="0">
            <cx:spPr>
              <a:solidFill>
                <a:srgbClr val="002060"/>
              </a:solidFill>
            </cx:spPr>
          </cx:dataPt>
          <cx:dataPt idx="1">
            <cx:spPr>
              <a:solidFill>
                <a:srgbClr val="0070C0"/>
              </a:solidFill>
            </cx:spPr>
          </cx:dataPt>
          <cx:dataPt idx="2">
            <cx:spPr>
              <a:solidFill>
                <a:srgbClr val="E7E6E6">
                  <a:lumMod val="75000"/>
                </a:srgbClr>
              </a:solidFill>
            </cx:spPr>
          </cx:dataPt>
          <cx:dataPt idx="3">
            <cx:spPr>
              <a:solidFill>
                <a:srgbClr val="4472C4">
                  <a:lumMod val="60000"/>
                  <a:lumOff val="40000"/>
                </a:srgbClr>
              </a:solidFill>
            </cx:spPr>
          </cx:dataPt>
          <cx:dataPt idx="4">
            <cx:spPr>
              <a:solidFill>
                <a:srgbClr val="002060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>
                    <a:solidFill>
                      <a:schemeClr val="bg1"/>
                    </a:solidFill>
                  </a:defRPr>
                </a:pPr>
                <a:endParaRPr lang="en-US" sz="900" b="1" i="0" u="none" strike="noStrike" baseline="0">
                  <a:solidFill>
                    <a:schemeClr val="bg1"/>
                  </a:solidFill>
                  <a:latin typeface="Calibri" panose="020F0502020204030204"/>
                </a:endParaRPr>
              </a:p>
            </cx:txPr>
            <cx:visibility seriesName="0" categoryName="0" value="1"/>
            <cx:separator>, </cx:separator>
          </cx:dataLabels>
          <cx:dataId val="0"/>
          <cx:layoutPr>
            <cx:subtotals>
              <cx:idx val="4"/>
            </cx:subtotals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700">
                <a:solidFill>
                  <a:sysClr val="windowText" lastClr="000000"/>
                </a:solidFill>
              </a:defRPr>
            </a:pPr>
            <a:endParaRPr lang="en-US" sz="700" b="0" i="0" u="none" strike="noStrike" baseline="0">
              <a:solidFill>
                <a:sysClr val="windowText" lastClr="000000"/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326571</xdr:colOff>
      <xdr:row>12</xdr:row>
      <xdr:rowOff>285750</xdr:rowOff>
    </xdr:from>
    <xdr:to>
      <xdr:col>4</xdr:col>
      <xdr:colOff>0</xdr:colOff>
      <xdr:row>20</xdr:row>
      <xdr:rowOff>13607</xdr:rowOff>
    </xdr:to>
    <xdr:sp macro="[0]!UnhideAndGoToMain" textlink="">
      <xdr:nvSpPr>
        <xdr:cNvPr id="2" name="Rectangle 1">
          <a:extLst>
            <a:ext uri="{FF2B5EF4-FFF2-40B4-BE49-F238E27FC236}">
              <a16:creationId xmlns:a16="http://schemas.microsoft.com/office/drawing/2014/main" id="{9BD45528-0821-1D0D-26E8-20D6ADF2D136}"/>
            </a:ext>
          </a:extLst>
        </xdr:cNvPr>
        <xdr:cNvSpPr/>
      </xdr:nvSpPr>
      <xdr:spPr>
        <a:xfrm>
          <a:off x="326571" y="3878036"/>
          <a:ext cx="3605893" cy="2122714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UNHIDE SHEETS</a:t>
          </a:r>
        </a:p>
        <a:p>
          <a:pPr algn="ctr"/>
          <a:endParaRPr lang="en-IN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IN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Unhide all hidden sheets</a:t>
          </a:r>
        </a:p>
      </xdr:txBody>
    </xdr:sp>
    <xdr:clientData/>
  </xdr:twoCellAnchor>
  <xdr:twoCellAnchor>
    <xdr:from>
      <xdr:col>5</xdr:col>
      <xdr:colOff>0</xdr:colOff>
      <xdr:row>13</xdr:row>
      <xdr:rowOff>0</xdr:rowOff>
    </xdr:from>
    <xdr:to>
      <xdr:col>8</xdr:col>
      <xdr:colOff>13607</xdr:colOff>
      <xdr:row>20</xdr:row>
      <xdr:rowOff>27214</xdr:rowOff>
    </xdr:to>
    <xdr:sp macro="[0]!HideSpecificSheets" textlink="">
      <xdr:nvSpPr>
        <xdr:cNvPr id="3" name="Rectangle 2">
          <a:extLst>
            <a:ext uri="{FF2B5EF4-FFF2-40B4-BE49-F238E27FC236}">
              <a16:creationId xmlns:a16="http://schemas.microsoft.com/office/drawing/2014/main" id="{720FE49E-1C55-4437-8404-805F2984F430}"/>
            </a:ext>
          </a:extLst>
        </xdr:cNvPr>
        <xdr:cNvSpPr/>
      </xdr:nvSpPr>
      <xdr:spPr>
        <a:xfrm>
          <a:off x="5129893" y="3891643"/>
          <a:ext cx="3605893" cy="2122714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HIDE SHEETS</a:t>
          </a:r>
        </a:p>
        <a:p>
          <a:pPr algn="ctr"/>
          <a:endParaRPr lang="en-IN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IN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Hide all sheets except cover</a:t>
          </a: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12</xdr:col>
      <xdr:colOff>13607</xdr:colOff>
      <xdr:row>20</xdr:row>
      <xdr:rowOff>27214</xdr:rowOff>
    </xdr:to>
    <xdr:sp macro="[0]!ResetAllSheetsToA1" textlink="">
      <xdr:nvSpPr>
        <xdr:cNvPr id="4" name="Rectangle 3">
          <a:extLst>
            <a:ext uri="{FF2B5EF4-FFF2-40B4-BE49-F238E27FC236}">
              <a16:creationId xmlns:a16="http://schemas.microsoft.com/office/drawing/2014/main" id="{63B7A81C-9A53-4B8E-92E4-2CAF0E9F50FD}"/>
            </a:ext>
          </a:extLst>
        </xdr:cNvPr>
        <xdr:cNvSpPr/>
      </xdr:nvSpPr>
      <xdr:spPr>
        <a:xfrm>
          <a:off x="9919607" y="3891643"/>
          <a:ext cx="3605893" cy="2122714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FORMAT REPORT</a:t>
          </a:r>
        </a:p>
        <a:p>
          <a:pPr algn="ctr"/>
          <a:endParaRPr lang="en-IN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IN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Apply presentation formatting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123823</xdr:colOff>
      <xdr:row>9</xdr:row>
      <xdr:rowOff>128586</xdr:rowOff>
    </xdr:from>
    <xdr:to>
      <xdr:col>11</xdr:col>
      <xdr:colOff>561975</xdr:colOff>
      <xdr:row>25</xdr:row>
      <xdr:rowOff>171449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AF17801-1BEF-D925-7EA8-AEA04F45C3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19</xdr:row>
      <xdr:rowOff>100011</xdr:rowOff>
    </xdr:from>
    <xdr:to>
      <xdr:col>9</xdr:col>
      <xdr:colOff>190500</xdr:colOff>
      <xdr:row>36</xdr:row>
      <xdr:rowOff>180974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1598862-8A61-D1FF-189A-5EBC7AF5A62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2900" y="4043361"/>
              <a:ext cx="6791325" cy="33194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157161</xdr:rowOff>
    </xdr:from>
    <xdr:to>
      <xdr:col>8</xdr:col>
      <xdr:colOff>9525</xdr:colOff>
      <xdr:row>66</xdr:row>
      <xdr:rowOff>161924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A96168-7B5B-8BE8-9019-C5019715F3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76198</xdr:colOff>
      <xdr:row>21</xdr:row>
      <xdr:rowOff>14285</xdr:rowOff>
    </xdr:from>
    <xdr:to>
      <xdr:col>8</xdr:col>
      <xdr:colOff>742950</xdr:colOff>
      <xdr:row>42</xdr:row>
      <xdr:rowOff>47624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6EFBB1F8-1C51-9315-4DB4-901C947064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8123" y="4243385"/>
              <a:ext cx="7610477" cy="40338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12</xdr:row>
      <xdr:rowOff>157161</xdr:rowOff>
    </xdr:from>
    <xdr:to>
      <xdr:col>11</xdr:col>
      <xdr:colOff>0</xdr:colOff>
      <xdr:row>26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ACE36E-0C9A-49B0-8DA3-579CBE319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9</xdr:row>
      <xdr:rowOff>157161</xdr:rowOff>
    </xdr:from>
    <xdr:to>
      <xdr:col>4</xdr:col>
      <xdr:colOff>619125</xdr:colOff>
      <xdr:row>24</xdr:row>
      <xdr:rowOff>47624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78D8BF-AE88-FC1E-0F61-0C9A7A6F92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66675</xdr:colOff>
      <xdr:row>9</xdr:row>
      <xdr:rowOff>152400</xdr:rowOff>
    </xdr:from>
    <xdr:to>
      <xdr:col>9</xdr:col>
      <xdr:colOff>657225</xdr:colOff>
      <xdr:row>24</xdr:row>
      <xdr:rowOff>42863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9D02BD4-4BBA-4EC1-A530-C057DA49DC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152400</xdr:colOff>
      <xdr:row>9</xdr:row>
      <xdr:rowOff>133350</xdr:rowOff>
    </xdr:from>
    <xdr:to>
      <xdr:col>15</xdr:col>
      <xdr:colOff>0</xdr:colOff>
      <xdr:row>24</xdr:row>
      <xdr:rowOff>23813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B6FD997-D7BB-48EE-8FE6-591155D517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152400</xdr:colOff>
      <xdr:row>26</xdr:row>
      <xdr:rowOff>4762</xdr:rowOff>
    </xdr:from>
    <xdr:to>
      <xdr:col>4</xdr:col>
      <xdr:colOff>638175</xdr:colOff>
      <xdr:row>37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E99FD3B-FBAE-AC9C-79E7-9D5548FEE3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57150</xdr:colOff>
      <xdr:row>25</xdr:row>
      <xdr:rowOff>180975</xdr:rowOff>
    </xdr:from>
    <xdr:to>
      <xdr:col>9</xdr:col>
      <xdr:colOff>685800</xdr:colOff>
      <xdr:row>37</xdr:row>
      <xdr:rowOff>23813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F795A35-C135-46BC-B24E-453B5E428E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133350</xdr:colOff>
      <xdr:row>25</xdr:row>
      <xdr:rowOff>171450</xdr:rowOff>
    </xdr:from>
    <xdr:to>
      <xdr:col>15</xdr:col>
      <xdr:colOff>19050</xdr:colOff>
      <xdr:row>37</xdr:row>
      <xdr:rowOff>14288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D41A2DE-D664-4B8B-A189-339ABB7575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76200</xdr:colOff>
      <xdr:row>0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46A3F61-ADBB-43EB-AB6D-E9F0A876B3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76200</xdr:colOff>
      <xdr:row>0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2D36D79-36A0-4922-81CE-9B32D21F85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76200</xdr:colOff>
      <xdr:row>16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2C70395-F430-4251-A55B-FD52DDEBFA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67125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98EFA5A-A5BB-4D90-BA21-261DCF91A0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00075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9A0FCEC-7E08-4DB3-88CE-A744153232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00125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76200</xdr:colOff>
      <xdr:row>63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4CE8C65-ABE2-44AA-823D-460EFF69D2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592175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8D1EC-EF75-4F3D-9D6D-771C8EDC8229}">
  <dimension ref="A1:N39"/>
  <sheetViews>
    <sheetView showGridLines="0" tabSelected="1" zoomScale="70" zoomScaleNormal="70" workbookViewId="0">
      <pane ySplit="1" topLeftCell="A2" activePane="bottomLeft" state="frozen"/>
      <selection pane="bottomLeft"/>
    </sheetView>
  </sheetViews>
  <sheetFormatPr defaultRowHeight="14.25" x14ac:dyDescent="0.2"/>
  <cols>
    <col min="1" max="1" width="5" style="220" customWidth="1"/>
    <col min="2" max="13" width="18" style="220" customWidth="1"/>
    <col min="14" max="14" width="5" style="220" customWidth="1"/>
    <col min="15" max="16384" width="9.140625" style="220"/>
  </cols>
  <sheetData>
    <row r="1" spans="1:14" ht="24" customHeight="1" x14ac:dyDescent="0.2">
      <c r="A1" s="219"/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</row>
    <row r="2" spans="1:14" ht="24" customHeight="1" x14ac:dyDescent="0.2">
      <c r="A2" s="221"/>
      <c r="B2" s="222" t="s">
        <v>319</v>
      </c>
      <c r="C2" s="223"/>
      <c r="D2" s="223"/>
      <c r="E2" s="223"/>
      <c r="F2" s="223"/>
      <c r="G2" s="223"/>
      <c r="H2" s="223"/>
      <c r="I2" s="221"/>
      <c r="J2" s="221"/>
      <c r="K2" s="221"/>
      <c r="L2" s="221"/>
      <c r="M2" s="221"/>
      <c r="N2" s="221"/>
    </row>
    <row r="3" spans="1:14" ht="24" customHeight="1" x14ac:dyDescent="0.2">
      <c r="A3" s="221"/>
      <c r="B3" s="223"/>
      <c r="C3" s="223"/>
      <c r="D3" s="223"/>
      <c r="E3" s="223"/>
      <c r="F3" s="223"/>
      <c r="G3" s="223"/>
      <c r="H3" s="223"/>
      <c r="I3" s="221"/>
      <c r="J3" s="221"/>
      <c r="K3" s="221"/>
      <c r="L3" s="221"/>
      <c r="M3" s="221"/>
      <c r="N3" s="221"/>
    </row>
    <row r="4" spans="1:14" ht="24" customHeight="1" x14ac:dyDescent="0.2">
      <c r="A4" s="221"/>
      <c r="B4" s="223"/>
      <c r="C4" s="223"/>
      <c r="D4" s="223"/>
      <c r="E4" s="223"/>
      <c r="F4" s="223"/>
      <c r="G4" s="223"/>
      <c r="H4" s="223"/>
      <c r="I4" s="221"/>
      <c r="J4" s="221"/>
      <c r="K4" s="221"/>
      <c r="L4" s="221"/>
      <c r="M4" s="221"/>
      <c r="N4" s="221"/>
    </row>
    <row r="5" spans="1:14" ht="24" customHeight="1" x14ac:dyDescent="0.2">
      <c r="A5" s="221"/>
      <c r="B5" s="224" t="s">
        <v>318</v>
      </c>
      <c r="C5" s="223"/>
      <c r="D5" s="223"/>
      <c r="E5" s="223"/>
      <c r="F5" s="223"/>
      <c r="G5" s="223"/>
      <c r="H5" s="223"/>
      <c r="I5" s="221"/>
      <c r="J5" s="221"/>
      <c r="K5" s="221"/>
      <c r="L5" s="221"/>
      <c r="M5" s="221"/>
      <c r="N5" s="221"/>
    </row>
    <row r="6" spans="1:14" ht="24" customHeight="1" x14ac:dyDescent="0.2">
      <c r="A6" s="221"/>
      <c r="B6" s="223"/>
      <c r="C6" s="223"/>
      <c r="D6" s="223"/>
      <c r="E6" s="223"/>
      <c r="F6" s="223"/>
      <c r="G6" s="223"/>
      <c r="H6" s="223"/>
      <c r="I6" s="221"/>
      <c r="J6" s="221"/>
      <c r="K6" s="221"/>
      <c r="L6" s="221"/>
      <c r="M6" s="221"/>
      <c r="N6" s="221"/>
    </row>
    <row r="7" spans="1:14" ht="24" customHeight="1" x14ac:dyDescent="0.2">
      <c r="A7" s="221"/>
      <c r="B7" s="221"/>
      <c r="C7" s="221"/>
      <c r="D7" s="221"/>
      <c r="E7" s="221"/>
      <c r="F7" s="221"/>
      <c r="G7" s="221"/>
      <c r="H7" s="221"/>
      <c r="I7" s="221"/>
      <c r="J7" s="221"/>
      <c r="K7" s="221"/>
      <c r="L7" s="221"/>
      <c r="M7" s="221"/>
      <c r="N7" s="221"/>
    </row>
    <row r="8" spans="1:14" ht="24" customHeight="1" x14ac:dyDescent="0.25">
      <c r="A8" s="221"/>
      <c r="B8" s="225" t="s">
        <v>320</v>
      </c>
      <c r="C8" s="221"/>
      <c r="D8" s="226" t="s">
        <v>341</v>
      </c>
      <c r="E8" s="221"/>
      <c r="F8" s="221"/>
      <c r="G8" s="221"/>
      <c r="H8" s="221"/>
      <c r="I8" s="221"/>
      <c r="J8" s="221"/>
      <c r="K8" s="221"/>
      <c r="L8" s="221"/>
      <c r="M8" s="221"/>
      <c r="N8" s="221"/>
    </row>
    <row r="9" spans="1:14" ht="24" customHeight="1" x14ac:dyDescent="0.25">
      <c r="A9" s="221"/>
      <c r="B9" s="225" t="s">
        <v>321</v>
      </c>
      <c r="C9" s="221"/>
      <c r="D9" s="226" t="s">
        <v>322</v>
      </c>
      <c r="E9" s="221"/>
      <c r="F9" s="221"/>
      <c r="G9" s="221"/>
      <c r="H9" s="221"/>
      <c r="I9" s="221"/>
      <c r="J9" s="221"/>
      <c r="K9" s="221"/>
      <c r="L9" s="221"/>
      <c r="M9" s="221"/>
      <c r="N9" s="221"/>
    </row>
    <row r="10" spans="1:14" ht="24" customHeight="1" x14ac:dyDescent="0.25">
      <c r="A10" s="221"/>
      <c r="B10" s="225" t="s">
        <v>323</v>
      </c>
      <c r="C10" s="221"/>
      <c r="D10" s="226" t="s">
        <v>324</v>
      </c>
      <c r="E10" s="221"/>
      <c r="F10" s="221"/>
      <c r="G10" s="221"/>
      <c r="H10" s="221"/>
      <c r="I10" s="221"/>
      <c r="J10" s="221"/>
      <c r="K10" s="221"/>
      <c r="L10" s="221"/>
      <c r="M10" s="221"/>
      <c r="N10" s="221"/>
    </row>
    <row r="11" spans="1:14" ht="24" customHeight="1" x14ac:dyDescent="0.2">
      <c r="A11" s="221"/>
      <c r="B11" s="221"/>
      <c r="C11" s="221"/>
      <c r="D11" s="221"/>
      <c r="E11" s="221"/>
      <c r="F11" s="221"/>
      <c r="G11" s="221"/>
      <c r="H11" s="221"/>
      <c r="I11" s="221"/>
      <c r="J11" s="221"/>
      <c r="K11" s="221"/>
      <c r="L11" s="221"/>
      <c r="M11" s="221"/>
      <c r="N11" s="221"/>
    </row>
    <row r="12" spans="1:14" ht="24" customHeight="1" x14ac:dyDescent="0.2">
      <c r="A12" s="221"/>
      <c r="B12" s="221"/>
      <c r="C12" s="221"/>
      <c r="D12" s="221"/>
      <c r="E12" s="221"/>
      <c r="F12" s="221"/>
      <c r="G12" s="221"/>
      <c r="H12" s="221"/>
      <c r="I12" s="221"/>
      <c r="J12" s="221"/>
      <c r="K12" s="221"/>
      <c r="L12" s="221"/>
      <c r="M12" s="221"/>
      <c r="N12" s="221"/>
    </row>
    <row r="13" spans="1:14" ht="24" customHeight="1" x14ac:dyDescent="0.2">
      <c r="A13" s="221"/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</row>
    <row r="14" spans="1:14" ht="24" customHeight="1" x14ac:dyDescent="0.2">
      <c r="A14" s="221"/>
      <c r="B14" s="227"/>
      <c r="C14" s="228"/>
      <c r="D14" s="228"/>
      <c r="E14" s="221"/>
      <c r="F14" s="227"/>
      <c r="G14" s="228"/>
      <c r="H14" s="228"/>
      <c r="I14" s="221"/>
      <c r="J14" s="227"/>
      <c r="K14" s="228"/>
      <c r="L14" s="228"/>
      <c r="M14" s="221"/>
      <c r="N14" s="221"/>
    </row>
    <row r="15" spans="1:14" ht="24" customHeight="1" x14ac:dyDescent="0.2">
      <c r="A15" s="221"/>
      <c r="B15" s="228"/>
      <c r="C15" s="228"/>
      <c r="D15" s="228"/>
      <c r="E15" s="221"/>
      <c r="F15" s="228"/>
      <c r="G15" s="228"/>
      <c r="H15" s="228"/>
      <c r="I15" s="221"/>
      <c r="J15" s="228"/>
      <c r="K15" s="228"/>
      <c r="L15" s="228"/>
      <c r="M15" s="221"/>
      <c r="N15" s="221"/>
    </row>
    <row r="16" spans="1:14" ht="24" customHeight="1" x14ac:dyDescent="0.2">
      <c r="A16" s="221"/>
      <c r="B16" s="228"/>
      <c r="C16" s="228"/>
      <c r="D16" s="228"/>
      <c r="E16" s="221"/>
      <c r="F16" s="228"/>
      <c r="G16" s="228"/>
      <c r="H16" s="228"/>
      <c r="I16" s="221"/>
      <c r="J16" s="228"/>
      <c r="K16" s="228"/>
      <c r="L16" s="228"/>
      <c r="M16" s="221"/>
      <c r="N16" s="221"/>
    </row>
    <row r="17" spans="1:14" ht="24" customHeight="1" x14ac:dyDescent="0.2">
      <c r="A17" s="221"/>
      <c r="B17" s="228"/>
      <c r="C17" s="228"/>
      <c r="D17" s="228"/>
      <c r="E17" s="221"/>
      <c r="F17" s="228"/>
      <c r="G17" s="228"/>
      <c r="H17" s="228"/>
      <c r="I17" s="221"/>
      <c r="J17" s="228"/>
      <c r="K17" s="228"/>
      <c r="L17" s="228"/>
      <c r="M17" s="221"/>
      <c r="N17" s="221"/>
    </row>
    <row r="18" spans="1:14" ht="24" customHeight="1" x14ac:dyDescent="0.2">
      <c r="A18" s="221"/>
      <c r="B18" s="228"/>
      <c r="C18" s="228"/>
      <c r="D18" s="228"/>
      <c r="E18" s="221"/>
      <c r="F18" s="228"/>
      <c r="G18" s="228"/>
      <c r="H18" s="228"/>
      <c r="I18" s="221"/>
      <c r="J18" s="228"/>
      <c r="K18" s="228"/>
      <c r="L18" s="228"/>
      <c r="M18" s="221"/>
      <c r="N18" s="221"/>
    </row>
    <row r="19" spans="1:14" ht="24" customHeight="1" x14ac:dyDescent="0.2">
      <c r="A19" s="221"/>
      <c r="B19" s="228"/>
      <c r="C19" s="228"/>
      <c r="D19" s="228"/>
      <c r="E19" s="221"/>
      <c r="F19" s="228"/>
      <c r="G19" s="228"/>
      <c r="H19" s="228"/>
      <c r="I19" s="221"/>
      <c r="J19" s="228"/>
      <c r="K19" s="228"/>
      <c r="L19" s="228"/>
      <c r="M19" s="221"/>
      <c r="N19" s="221"/>
    </row>
    <row r="20" spans="1:14" ht="24" customHeight="1" x14ac:dyDescent="0.2">
      <c r="A20" s="221"/>
      <c r="B20" s="228"/>
      <c r="C20" s="228"/>
      <c r="D20" s="228"/>
      <c r="E20" s="221"/>
      <c r="F20" s="228"/>
      <c r="G20" s="228"/>
      <c r="H20" s="228"/>
      <c r="I20" s="221"/>
      <c r="J20" s="228"/>
      <c r="K20" s="228"/>
      <c r="L20" s="228"/>
      <c r="M20" s="221"/>
      <c r="N20" s="221"/>
    </row>
    <row r="21" spans="1:14" ht="24" customHeight="1" x14ac:dyDescent="0.2">
      <c r="A21" s="221"/>
      <c r="B21" s="221"/>
      <c r="C21" s="221"/>
      <c r="D21" s="221"/>
      <c r="E21" s="221"/>
      <c r="F21" s="221"/>
      <c r="G21" s="221"/>
      <c r="H21" s="221"/>
      <c r="I21" s="221"/>
      <c r="J21" s="221"/>
      <c r="K21" s="221"/>
      <c r="L21" s="221"/>
      <c r="M21" s="221"/>
      <c r="N21" s="221"/>
    </row>
    <row r="22" spans="1:14" ht="24" customHeight="1" x14ac:dyDescent="0.2">
      <c r="A22" s="221"/>
      <c r="B22" s="221"/>
      <c r="C22" s="221"/>
      <c r="D22" s="221"/>
      <c r="E22" s="221"/>
      <c r="F22" s="221"/>
      <c r="G22" s="221"/>
      <c r="H22" s="221"/>
      <c r="I22" s="221"/>
      <c r="J22" s="221"/>
      <c r="K22" s="221"/>
      <c r="L22" s="221"/>
      <c r="M22" s="221"/>
      <c r="N22" s="221"/>
    </row>
    <row r="23" spans="1:14" ht="24" customHeight="1" x14ac:dyDescent="0.2">
      <c r="A23" s="221"/>
      <c r="B23" s="229" t="s">
        <v>325</v>
      </c>
      <c r="C23" s="223"/>
      <c r="D23" s="223"/>
      <c r="E23" s="223"/>
      <c r="F23" s="223"/>
      <c r="G23" s="229" t="s">
        <v>326</v>
      </c>
      <c r="H23" s="223"/>
      <c r="I23" s="223"/>
      <c r="J23" s="223"/>
      <c r="K23" s="223"/>
      <c r="L23" s="223"/>
      <c r="M23" s="223"/>
      <c r="N23" s="221"/>
    </row>
    <row r="24" spans="1:14" ht="24" customHeight="1" x14ac:dyDescent="0.2">
      <c r="A24" s="221"/>
      <c r="B24" s="221"/>
      <c r="C24" s="221"/>
      <c r="D24" s="221"/>
      <c r="E24" s="221"/>
      <c r="F24" s="221"/>
      <c r="G24" s="221"/>
      <c r="H24" s="221"/>
      <c r="I24" s="221"/>
      <c r="J24" s="221"/>
      <c r="K24" s="221"/>
      <c r="L24" s="221"/>
      <c r="M24" s="221"/>
      <c r="N24" s="221"/>
    </row>
    <row r="25" spans="1:14" ht="24" customHeight="1" x14ac:dyDescent="0.25">
      <c r="A25" s="221"/>
      <c r="B25" s="230" t="s">
        <v>327</v>
      </c>
      <c r="C25" s="231"/>
      <c r="D25" s="232" t="s">
        <v>328</v>
      </c>
      <c r="E25" s="231"/>
      <c r="F25" s="231"/>
      <c r="G25" s="221"/>
      <c r="H25" s="221"/>
      <c r="I25" s="221"/>
      <c r="J25" s="221"/>
      <c r="K25" s="221"/>
      <c r="L25" s="221"/>
      <c r="M25" s="221"/>
      <c r="N25" s="221"/>
    </row>
    <row r="26" spans="1:14" ht="24" customHeight="1" x14ac:dyDescent="0.2">
      <c r="A26" s="221"/>
      <c r="B26" s="221"/>
      <c r="C26" s="221"/>
      <c r="D26" s="221"/>
      <c r="E26" s="221"/>
      <c r="F26" s="221"/>
      <c r="G26" s="233" t="s">
        <v>329</v>
      </c>
      <c r="H26" s="233" t="s">
        <v>330</v>
      </c>
      <c r="I26" s="233" t="s">
        <v>331</v>
      </c>
      <c r="J26" s="233" t="s">
        <v>332</v>
      </c>
      <c r="K26" s="233" t="s">
        <v>333</v>
      </c>
      <c r="L26" s="233" t="s">
        <v>334</v>
      </c>
      <c r="M26" s="221"/>
      <c r="N26" s="221"/>
    </row>
    <row r="27" spans="1:14" ht="24" customHeight="1" x14ac:dyDescent="0.25">
      <c r="A27" s="221"/>
      <c r="B27" s="230" t="s">
        <v>335</v>
      </c>
      <c r="C27" s="231"/>
      <c r="D27" s="232" t="s">
        <v>336</v>
      </c>
      <c r="E27" s="231"/>
      <c r="F27" s="231"/>
      <c r="G27" s="221"/>
      <c r="H27" s="221"/>
      <c r="I27" s="221"/>
      <c r="J27" s="221"/>
      <c r="K27" s="221"/>
      <c r="L27" s="221"/>
      <c r="M27" s="221"/>
      <c r="N27" s="221"/>
    </row>
    <row r="28" spans="1:14" ht="24" customHeight="1" x14ac:dyDescent="0.2">
      <c r="A28" s="221"/>
      <c r="B28" s="221"/>
      <c r="C28" s="221"/>
      <c r="D28" s="221"/>
      <c r="E28" s="221"/>
      <c r="F28" s="221"/>
      <c r="G28" s="221"/>
      <c r="H28" s="221"/>
      <c r="I28" s="221"/>
      <c r="J28" s="221"/>
      <c r="K28" s="221"/>
      <c r="L28" s="221"/>
      <c r="M28" s="221"/>
      <c r="N28" s="221"/>
    </row>
    <row r="29" spans="1:14" ht="24" customHeight="1" x14ac:dyDescent="0.25">
      <c r="A29" s="221"/>
      <c r="B29" s="230" t="s">
        <v>337</v>
      </c>
      <c r="C29" s="231"/>
      <c r="D29" s="232" t="s">
        <v>338</v>
      </c>
      <c r="E29" s="231"/>
      <c r="F29" s="231"/>
      <c r="G29" s="221"/>
      <c r="H29" s="221"/>
      <c r="I29" s="221"/>
      <c r="J29" s="221"/>
      <c r="K29" s="221"/>
      <c r="L29" s="221"/>
      <c r="M29" s="221"/>
      <c r="N29" s="221"/>
    </row>
    <row r="30" spans="1:14" ht="24" customHeight="1" x14ac:dyDescent="0.2">
      <c r="A30" s="221"/>
      <c r="B30" s="221"/>
      <c r="C30" s="221"/>
      <c r="D30" s="221"/>
      <c r="E30" s="221"/>
      <c r="F30" s="221"/>
      <c r="G30" s="221"/>
      <c r="H30" s="221"/>
      <c r="I30" s="221"/>
      <c r="J30" s="221"/>
      <c r="K30" s="221"/>
      <c r="L30" s="221"/>
      <c r="M30" s="221"/>
      <c r="N30" s="221"/>
    </row>
    <row r="31" spans="1:14" ht="24" customHeight="1" x14ac:dyDescent="0.2">
      <c r="A31" s="221"/>
      <c r="B31" s="221"/>
      <c r="C31" s="221"/>
      <c r="D31" s="221"/>
      <c r="E31" s="221"/>
      <c r="F31" s="221"/>
      <c r="G31" s="221"/>
      <c r="H31" s="221"/>
      <c r="I31" s="221"/>
      <c r="J31" s="221"/>
      <c r="K31" s="221"/>
      <c r="L31" s="221"/>
      <c r="M31" s="221"/>
      <c r="N31" s="221"/>
    </row>
    <row r="32" spans="1:14" ht="24" customHeight="1" x14ac:dyDescent="0.2">
      <c r="A32" s="221"/>
      <c r="B32" s="221"/>
      <c r="C32" s="221"/>
      <c r="D32" s="221"/>
      <c r="E32" s="221"/>
      <c r="F32" s="221"/>
      <c r="G32" s="221"/>
      <c r="H32" s="221"/>
      <c r="I32" s="221"/>
      <c r="J32" s="221"/>
      <c r="K32" s="221"/>
      <c r="L32" s="221"/>
      <c r="M32" s="221"/>
      <c r="N32" s="221"/>
    </row>
    <row r="33" spans="1:14" ht="24" customHeight="1" x14ac:dyDescent="0.2">
      <c r="A33" s="221"/>
      <c r="B33" s="221"/>
      <c r="C33" s="221"/>
      <c r="D33" s="221"/>
      <c r="E33" s="221"/>
      <c r="F33" s="221"/>
      <c r="G33" s="221"/>
      <c r="H33" s="221"/>
      <c r="I33" s="221"/>
      <c r="J33" s="221"/>
      <c r="K33" s="221"/>
      <c r="L33" s="221"/>
      <c r="M33" s="221"/>
      <c r="N33" s="221"/>
    </row>
    <row r="34" spans="1:14" ht="24" customHeight="1" x14ac:dyDescent="0.2">
      <c r="A34" s="221"/>
      <c r="B34" s="221"/>
      <c r="C34" s="221"/>
      <c r="D34" s="221"/>
      <c r="E34" s="221"/>
      <c r="F34" s="221"/>
      <c r="G34" s="221"/>
      <c r="H34" s="221"/>
      <c r="I34" s="221"/>
      <c r="J34" s="221"/>
      <c r="K34" s="221"/>
      <c r="L34" s="221"/>
      <c r="M34" s="221"/>
      <c r="N34" s="221"/>
    </row>
    <row r="35" spans="1:14" ht="24" customHeight="1" x14ac:dyDescent="0.2">
      <c r="A35" s="221"/>
      <c r="B35" s="221"/>
      <c r="C35" s="221"/>
      <c r="D35" s="221"/>
      <c r="E35" s="221"/>
      <c r="F35" s="221"/>
      <c r="G35" s="221"/>
      <c r="H35" s="221"/>
      <c r="I35" s="221"/>
      <c r="J35" s="221"/>
      <c r="K35" s="221"/>
      <c r="L35" s="221"/>
      <c r="M35" s="221"/>
      <c r="N35" s="221"/>
    </row>
    <row r="36" spans="1:14" ht="24" customHeight="1" x14ac:dyDescent="0.2">
      <c r="A36" s="221"/>
      <c r="B36" s="221"/>
      <c r="C36" s="221"/>
      <c r="D36" s="221"/>
      <c r="E36" s="221"/>
      <c r="F36" s="221"/>
      <c r="G36" s="221"/>
      <c r="H36" s="221"/>
      <c r="I36" s="221"/>
      <c r="J36" s="221"/>
      <c r="K36" s="221"/>
      <c r="L36" s="221"/>
      <c r="M36" s="221"/>
      <c r="N36" s="221"/>
    </row>
    <row r="37" spans="1:14" ht="24" customHeight="1" x14ac:dyDescent="0.2">
      <c r="A37" s="221"/>
      <c r="B37" s="234" t="s">
        <v>339</v>
      </c>
      <c r="C37" s="223"/>
      <c r="D37" s="223"/>
      <c r="E37" s="223"/>
      <c r="F37" s="223"/>
      <c r="G37" s="221"/>
      <c r="H37" s="221"/>
      <c r="I37" s="221"/>
      <c r="J37" s="235" t="s">
        <v>340</v>
      </c>
      <c r="K37" s="223"/>
      <c r="L37" s="223"/>
      <c r="M37" s="223"/>
      <c r="N37" s="221"/>
    </row>
    <row r="38" spans="1:14" ht="24" customHeight="1" x14ac:dyDescent="0.2">
      <c r="A38" s="221"/>
      <c r="B38" s="221"/>
      <c r="C38" s="221"/>
      <c r="D38" s="221"/>
      <c r="E38" s="221"/>
      <c r="F38" s="221"/>
      <c r="G38" s="221"/>
      <c r="H38" s="221"/>
      <c r="I38" s="221"/>
      <c r="J38" s="221"/>
      <c r="K38" s="221"/>
      <c r="L38" s="221"/>
      <c r="M38" s="221"/>
      <c r="N38" s="221"/>
    </row>
    <row r="39" spans="1:14" ht="24" customHeight="1" x14ac:dyDescent="0.2">
      <c r="A39" s="221"/>
      <c r="B39" s="221"/>
      <c r="C39" s="221"/>
      <c r="D39" s="221"/>
      <c r="E39" s="221"/>
      <c r="F39" s="221"/>
      <c r="G39" s="221"/>
      <c r="H39" s="221"/>
      <c r="I39" s="221"/>
      <c r="J39" s="221"/>
      <c r="K39" s="221"/>
      <c r="L39" s="221"/>
      <c r="M39" s="221"/>
      <c r="N39" s="221"/>
    </row>
  </sheetData>
  <sheetProtection algorithmName="SHA-512" hashValue="sPY4Bn15Yyh1npnsvHNwW96VD3LmF6qbfLTnjAFcEFLfwSmx2lJ+xYL8jQnRG2DLTzVXhV0M/E81fkhXEeLJsA==" saltValue="BKIaCQDueV/iz/849n/TRA==" spinCount="100000" sheet="1" objects="1" scenarios="1"/>
  <mergeCells count="9">
    <mergeCell ref="B37:F37"/>
    <mergeCell ref="J37:M37"/>
    <mergeCell ref="B2:H4"/>
    <mergeCell ref="B5:H6"/>
    <mergeCell ref="B14:D20"/>
    <mergeCell ref="F14:H20"/>
    <mergeCell ref="J14:L20"/>
    <mergeCell ref="B23:F23"/>
    <mergeCell ref="G23:M23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5D315-1D84-49D6-A2CD-F1BC5481D3E3}">
  <sheetPr codeName="Sheet1">
    <tabColor rgb="FF002060"/>
  </sheetPr>
  <dimension ref="B1:B11"/>
  <sheetViews>
    <sheetView workbookViewId="0"/>
  </sheetViews>
  <sheetFormatPr defaultRowHeight="12" x14ac:dyDescent="0.2"/>
  <cols>
    <col min="1" max="1" width="2" style="31" customWidth="1"/>
    <col min="2" max="16384" width="9.140625" style="31"/>
  </cols>
  <sheetData>
    <row r="1" spans="2:2" ht="15.75" x14ac:dyDescent="0.25">
      <c r="B1" s="30"/>
    </row>
    <row r="11" spans="2:2" ht="41.25" x14ac:dyDescent="0.6">
      <c r="B11" s="32" t="s">
        <v>114</v>
      </c>
    </row>
  </sheetData>
  <sheetProtection algorithmName="SHA-512" hashValue="01nTkSF9SL/YXyqFobY2IUQT1m4ZPvIAx811h/8XOnt9+y8crFsvKfoKMOKPDd3JxaXnRyaOzNJq6sx6FmPjFA==" saltValue="HQ+kxDVQGeODp+pfDNXTAw==" spinCount="100000" sheet="1" objects="1" scenario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1B244-2B4C-4BE0-B35C-9831E28DFAF8}">
  <sheetPr codeName="Sheet2"/>
  <dimension ref="B1:O50"/>
  <sheetViews>
    <sheetView showGridLines="0" zoomScale="90" zoomScaleNormal="90" workbookViewId="0">
      <pane ySplit="9" topLeftCell="A10" activePane="bottomLeft" state="frozen"/>
      <selection pane="bottomLeft"/>
    </sheetView>
  </sheetViews>
  <sheetFormatPr defaultRowHeight="15" x14ac:dyDescent="0.25"/>
  <cols>
    <col min="1" max="1" width="3" customWidth="1"/>
    <col min="2" max="2" width="19" bestFit="1" customWidth="1"/>
    <col min="4" max="11" width="10.7109375" customWidth="1"/>
  </cols>
  <sheetData>
    <row r="1" spans="2:15" ht="15.75" x14ac:dyDescent="0.25">
      <c r="B1" s="7" t="s">
        <v>15</v>
      </c>
    </row>
    <row r="2" spans="2:15" ht="15.75" x14ac:dyDescent="0.25">
      <c r="B2" s="7"/>
      <c r="E2" t="s">
        <v>17</v>
      </c>
    </row>
    <row r="3" spans="2:15" ht="15.75" x14ac:dyDescent="0.25">
      <c r="B3" s="7"/>
      <c r="E3" t="s">
        <v>18</v>
      </c>
      <c r="L3" s="52"/>
      <c r="N3" s="4"/>
      <c r="O3" s="23"/>
    </row>
    <row r="4" spans="2:15" x14ac:dyDescent="0.25">
      <c r="B4" s="21" t="s">
        <v>16</v>
      </c>
      <c r="C4" s="209">
        <v>1</v>
      </c>
      <c r="E4" t="s">
        <v>19</v>
      </c>
    </row>
    <row r="5" spans="2:15" x14ac:dyDescent="0.25">
      <c r="E5" t="s">
        <v>20</v>
      </c>
    </row>
    <row r="6" spans="2:15" ht="15.75" x14ac:dyDescent="0.25">
      <c r="B6" s="7"/>
    </row>
    <row r="8" spans="2:15" x14ac:dyDescent="0.25">
      <c r="D8" s="2">
        <v>2024</v>
      </c>
      <c r="E8" s="2">
        <v>2025</v>
      </c>
      <c r="F8" s="2">
        <v>2026</v>
      </c>
      <c r="G8" s="8">
        <v>2027</v>
      </c>
      <c r="H8" s="8">
        <v>2028</v>
      </c>
      <c r="I8" s="8">
        <v>2029</v>
      </c>
      <c r="J8" s="8">
        <v>2030</v>
      </c>
      <c r="K8" s="8">
        <v>2031</v>
      </c>
    </row>
    <row r="9" spans="2:15" x14ac:dyDescent="0.25">
      <c r="D9" s="2" t="s">
        <v>11</v>
      </c>
      <c r="E9" s="2" t="s">
        <v>11</v>
      </c>
      <c r="F9" s="2" t="s">
        <v>11</v>
      </c>
      <c r="G9" s="8" t="s">
        <v>12</v>
      </c>
      <c r="H9" s="8" t="s">
        <v>12</v>
      </c>
      <c r="I9" s="8" t="s">
        <v>12</v>
      </c>
      <c r="J9" s="8" t="s">
        <v>12</v>
      </c>
      <c r="K9" s="8" t="s">
        <v>12</v>
      </c>
    </row>
    <row r="10" spans="2:15" x14ac:dyDescent="0.25">
      <c r="B10" s="18" t="s">
        <v>3</v>
      </c>
      <c r="C10" s="18"/>
      <c r="D10" s="19">
        <f>'P&amp;L source'!D5</f>
        <v>126235.85</v>
      </c>
      <c r="E10" s="19">
        <f>'P&amp;L source'!E5</f>
        <v>142509.01</v>
      </c>
      <c r="F10" s="19">
        <f>'P&amp;L source'!F5</f>
        <v>153680.17000000001</v>
      </c>
      <c r="G10" s="39">
        <f>+F10*(1+G11)</f>
        <v>167511.38530000002</v>
      </c>
      <c r="H10" s="39">
        <f>+G10*(1+H11)</f>
        <v>182587.40997700003</v>
      </c>
      <c r="I10" s="39">
        <f t="shared" ref="I10:K10" si="0">+H10*(1+I11)</f>
        <v>199020.27687493004</v>
      </c>
      <c r="J10" s="39">
        <f t="shared" si="0"/>
        <v>216932.10179367376</v>
      </c>
      <c r="K10" s="39">
        <f t="shared" si="0"/>
        <v>236455.99095510441</v>
      </c>
    </row>
    <row r="11" spans="2:15" x14ac:dyDescent="0.25">
      <c r="B11" s="18" t="s">
        <v>21</v>
      </c>
      <c r="C11" s="18"/>
      <c r="D11" s="19"/>
      <c r="E11" s="22">
        <f>E10/D10-1</f>
        <v>0.12891076504812227</v>
      </c>
      <c r="F11" s="22">
        <f>F10/E10-1</f>
        <v>7.8389148868552194E-2</v>
      </c>
      <c r="G11" s="40">
        <f>+CHOOSE($C$4,G12,G13,G14)</f>
        <v>0.09</v>
      </c>
      <c r="H11" s="40">
        <f t="shared" ref="H11:K11" si="1">+CHOOSE($C$4,H12,H13,H14)</f>
        <v>0.09</v>
      </c>
      <c r="I11" s="40">
        <f t="shared" si="1"/>
        <v>0.09</v>
      </c>
      <c r="J11" s="40">
        <f t="shared" si="1"/>
        <v>0.09</v>
      </c>
      <c r="K11" s="40">
        <f t="shared" si="1"/>
        <v>0.09</v>
      </c>
    </row>
    <row r="12" spans="2:15" x14ac:dyDescent="0.25">
      <c r="B12" s="18" t="s">
        <v>22</v>
      </c>
      <c r="C12" s="18"/>
      <c r="D12" s="24"/>
      <c r="E12" s="24"/>
      <c r="F12" s="24"/>
      <c r="G12" s="40">
        <v>0.09</v>
      </c>
      <c r="H12" s="40">
        <f>G12</f>
        <v>0.09</v>
      </c>
      <c r="I12" s="40">
        <f t="shared" ref="I12:K12" si="2">H12</f>
        <v>0.09</v>
      </c>
      <c r="J12" s="40">
        <f t="shared" si="2"/>
        <v>0.09</v>
      </c>
      <c r="K12" s="40">
        <f t="shared" si="2"/>
        <v>0.09</v>
      </c>
    </row>
    <row r="13" spans="2:15" x14ac:dyDescent="0.25">
      <c r="B13" s="18" t="s">
        <v>23</v>
      </c>
      <c r="C13" s="18"/>
      <c r="D13" s="24"/>
      <c r="E13" s="24"/>
      <c r="F13" s="24"/>
      <c r="G13" s="40">
        <v>0.05</v>
      </c>
      <c r="H13" s="40">
        <f>G13</f>
        <v>0.05</v>
      </c>
      <c r="I13" s="40">
        <f t="shared" ref="I13:K13" si="3">H13</f>
        <v>0.05</v>
      </c>
      <c r="J13" s="40">
        <f t="shared" si="3"/>
        <v>0.05</v>
      </c>
      <c r="K13" s="40">
        <f t="shared" si="3"/>
        <v>0.05</v>
      </c>
    </row>
    <row r="14" spans="2:15" x14ac:dyDescent="0.25">
      <c r="B14" s="18" t="s">
        <v>24</v>
      </c>
      <c r="C14" s="18"/>
      <c r="D14" s="24"/>
      <c r="E14" s="24"/>
      <c r="F14" s="24"/>
      <c r="G14" s="40">
        <v>0.01</v>
      </c>
      <c r="H14" s="40">
        <f>G14</f>
        <v>0.01</v>
      </c>
      <c r="I14" s="40">
        <f t="shared" ref="I14:K14" si="4">H14</f>
        <v>0.01</v>
      </c>
      <c r="J14" s="40">
        <f t="shared" si="4"/>
        <v>0.01</v>
      </c>
      <c r="K14" s="40">
        <f t="shared" si="4"/>
        <v>0.01</v>
      </c>
    </row>
    <row r="15" spans="2:15" ht="6.75" customHeight="1" x14ac:dyDescent="0.25">
      <c r="B15" s="18"/>
      <c r="C15" s="18"/>
      <c r="D15" s="19"/>
      <c r="E15" s="19"/>
      <c r="F15" s="19"/>
      <c r="G15" s="41"/>
      <c r="H15" s="41"/>
      <c r="I15" s="27"/>
      <c r="J15" s="27"/>
      <c r="K15" s="27"/>
    </row>
    <row r="16" spans="2:15" x14ac:dyDescent="0.25">
      <c r="B16" s="18" t="s">
        <v>168</v>
      </c>
      <c r="C16" s="18"/>
      <c r="D16" s="19">
        <f>'P&amp;L source'!D6</f>
        <v>5340.6</v>
      </c>
      <c r="E16" s="19">
        <f>'P&amp;L source'!E6</f>
        <v>5669.21</v>
      </c>
      <c r="F16" s="19">
        <f>'P&amp;L source'!F6</f>
        <v>7358.45</v>
      </c>
      <c r="G16" s="44">
        <f>+F16*(1+G17)</f>
        <v>7947.1260000000002</v>
      </c>
      <c r="H16" s="44">
        <f>+G16*(1+H17)</f>
        <v>8582.8960800000004</v>
      </c>
      <c r="I16" s="156">
        <f t="shared" ref="I16" si="5">+H16*(1+I17)</f>
        <v>9269.5277664000005</v>
      </c>
      <c r="J16" s="156">
        <f t="shared" ref="J16" si="6">+I16*(1+J17)</f>
        <v>10011.089987712001</v>
      </c>
      <c r="K16" s="156">
        <f t="shared" ref="K16" si="7">+J16*(1+K17)</f>
        <v>10811.977186728962</v>
      </c>
    </row>
    <row r="17" spans="2:11" x14ac:dyDescent="0.25">
      <c r="B17" s="18" t="s">
        <v>21</v>
      </c>
      <c r="C17" s="18"/>
      <c r="D17" s="19"/>
      <c r="E17" s="22">
        <f>E16/D16-1</f>
        <v>6.1530539639740756E-2</v>
      </c>
      <c r="F17" s="22">
        <f>F16/E16-1</f>
        <v>0.29796744167176725</v>
      </c>
      <c r="G17" s="40">
        <f>+CHOOSE($C$4,G18,G19,G20)</f>
        <v>0.08</v>
      </c>
      <c r="H17" s="40">
        <f t="shared" ref="H17:K17" si="8">+CHOOSE($C$4,H18,H19,H20)</f>
        <v>0.08</v>
      </c>
      <c r="I17" s="40">
        <f t="shared" si="8"/>
        <v>0.08</v>
      </c>
      <c r="J17" s="40">
        <f t="shared" si="8"/>
        <v>0.08</v>
      </c>
      <c r="K17" s="40">
        <f t="shared" si="8"/>
        <v>0.08</v>
      </c>
    </row>
    <row r="18" spans="2:11" x14ac:dyDescent="0.25">
      <c r="B18" s="18" t="s">
        <v>22</v>
      </c>
      <c r="C18" s="18"/>
      <c r="D18" s="24"/>
      <c r="E18" s="24"/>
      <c r="F18" s="24"/>
      <c r="G18" s="40">
        <v>0.08</v>
      </c>
      <c r="H18" s="40">
        <f>G18</f>
        <v>0.08</v>
      </c>
      <c r="I18" s="40">
        <f t="shared" ref="I18:K18" si="9">H18</f>
        <v>0.08</v>
      </c>
      <c r="J18" s="40">
        <f t="shared" si="9"/>
        <v>0.08</v>
      </c>
      <c r="K18" s="40">
        <f t="shared" si="9"/>
        <v>0.08</v>
      </c>
    </row>
    <row r="19" spans="2:11" x14ac:dyDescent="0.25">
      <c r="B19" s="18" t="s">
        <v>23</v>
      </c>
      <c r="C19" s="18"/>
      <c r="D19" s="24"/>
      <c r="E19" s="24"/>
      <c r="F19" s="24"/>
      <c r="G19" s="40">
        <v>0.05</v>
      </c>
      <c r="H19" s="40">
        <f t="shared" ref="H19:K20" si="10">G19</f>
        <v>0.05</v>
      </c>
      <c r="I19" s="40">
        <f t="shared" si="10"/>
        <v>0.05</v>
      </c>
      <c r="J19" s="40">
        <f t="shared" si="10"/>
        <v>0.05</v>
      </c>
      <c r="K19" s="40">
        <f t="shared" si="10"/>
        <v>0.05</v>
      </c>
    </row>
    <row r="20" spans="2:11" x14ac:dyDescent="0.25">
      <c r="B20" s="18" t="s">
        <v>24</v>
      </c>
      <c r="C20" s="18"/>
      <c r="D20" s="24"/>
      <c r="E20" s="24"/>
      <c r="F20" s="24"/>
      <c r="G20" s="40">
        <v>0.02</v>
      </c>
      <c r="H20" s="40">
        <f t="shared" si="10"/>
        <v>0.02</v>
      </c>
      <c r="I20" s="40">
        <f t="shared" si="10"/>
        <v>0.02</v>
      </c>
      <c r="J20" s="40">
        <f t="shared" si="10"/>
        <v>0.02</v>
      </c>
      <c r="K20" s="40">
        <f t="shared" si="10"/>
        <v>0.02</v>
      </c>
    </row>
    <row r="21" spans="2:11" ht="6" customHeight="1" x14ac:dyDescent="0.25">
      <c r="B21" s="18"/>
      <c r="C21" s="18"/>
      <c r="D21" s="19"/>
      <c r="E21" s="19"/>
      <c r="F21" s="19"/>
      <c r="G21" s="41"/>
      <c r="H21" s="41"/>
      <c r="I21" s="27"/>
      <c r="J21" s="27"/>
      <c r="K21" s="27"/>
    </row>
    <row r="22" spans="2:11" x14ac:dyDescent="0.25">
      <c r="B22" s="18" t="s">
        <v>4</v>
      </c>
      <c r="C22" s="18"/>
      <c r="D22" s="20">
        <f>'P&amp;L source'!D8</f>
        <v>103821.21</v>
      </c>
      <c r="E22" s="20">
        <f>'P&amp;L source'!E8</f>
        <v>115566.09</v>
      </c>
      <c r="F22" s="20">
        <f>'P&amp;L source'!F8</f>
        <v>125508.84</v>
      </c>
      <c r="G22" s="39">
        <f>+G$10*G23</f>
        <v>134009.10824000003</v>
      </c>
      <c r="H22" s="39">
        <f t="shared" ref="H22:K22" si="11">+H$10*H23</f>
        <v>146069.92798160002</v>
      </c>
      <c r="I22" s="39">
        <f t="shared" si="11"/>
        <v>159216.22149994405</v>
      </c>
      <c r="J22" s="39">
        <f t="shared" si="11"/>
        <v>173545.68143493903</v>
      </c>
      <c r="K22" s="39">
        <f t="shared" si="11"/>
        <v>189164.79276408354</v>
      </c>
    </row>
    <row r="23" spans="2:11" x14ac:dyDescent="0.25">
      <c r="B23" s="18" t="s">
        <v>25</v>
      </c>
      <c r="C23" s="18"/>
      <c r="D23" s="25">
        <f>D22/D$10</f>
        <v>0.82243839606577684</v>
      </c>
      <c r="E23" s="25">
        <f t="shared" ref="E23:F23" si="12">E22/E$10</f>
        <v>0.81093883116583287</v>
      </c>
      <c r="F23" s="25">
        <f t="shared" si="12"/>
        <v>0.81668858122684262</v>
      </c>
      <c r="G23" s="40">
        <f>+CHOOSE($C$4,G24,G25,G26)</f>
        <v>0.8</v>
      </c>
      <c r="H23" s="40">
        <f t="shared" ref="H23" si="13">+CHOOSE($C$4,H24,H25,H26)</f>
        <v>0.8</v>
      </c>
      <c r="I23" s="42">
        <f t="shared" ref="I23" si="14">+CHOOSE($C$4,I24,I25,I26)</f>
        <v>0.8</v>
      </c>
      <c r="J23" s="42">
        <f t="shared" ref="J23" si="15">+CHOOSE($C$4,J24,J25,J26)</f>
        <v>0.8</v>
      </c>
      <c r="K23" s="42">
        <f t="shared" ref="K23" si="16">+CHOOSE($C$4,K24,K25,K26)</f>
        <v>0.8</v>
      </c>
    </row>
    <row r="24" spans="2:11" x14ac:dyDescent="0.25">
      <c r="B24" s="18" t="s">
        <v>22</v>
      </c>
      <c r="C24" s="18"/>
      <c r="D24" s="24"/>
      <c r="E24" s="24"/>
      <c r="F24" s="24"/>
      <c r="G24" s="43">
        <v>0.8</v>
      </c>
      <c r="H24" s="43">
        <f>G24</f>
        <v>0.8</v>
      </c>
      <c r="I24" s="43">
        <f t="shared" ref="I24:K24" si="17">H24</f>
        <v>0.8</v>
      </c>
      <c r="J24" s="43">
        <f t="shared" si="17"/>
        <v>0.8</v>
      </c>
      <c r="K24" s="43">
        <f t="shared" si="17"/>
        <v>0.8</v>
      </c>
    </row>
    <row r="25" spans="2:11" x14ac:dyDescent="0.25">
      <c r="B25" s="18" t="s">
        <v>23</v>
      </c>
      <c r="C25" s="18"/>
      <c r="D25" s="24"/>
      <c r="E25" s="24"/>
      <c r="F25" s="24"/>
      <c r="G25" s="43">
        <f>AVERAGE(D23:F23)</f>
        <v>0.81668860281948419</v>
      </c>
      <c r="H25" s="43">
        <f t="shared" ref="H25:K26" si="18">G25</f>
        <v>0.81668860281948419</v>
      </c>
      <c r="I25" s="43">
        <f t="shared" si="18"/>
        <v>0.81668860281948419</v>
      </c>
      <c r="J25" s="43">
        <f t="shared" si="18"/>
        <v>0.81668860281948419</v>
      </c>
      <c r="K25" s="43">
        <f t="shared" si="18"/>
        <v>0.81668860281948419</v>
      </c>
    </row>
    <row r="26" spans="2:11" x14ac:dyDescent="0.25">
      <c r="B26" s="18" t="s">
        <v>24</v>
      </c>
      <c r="C26" s="18"/>
      <c r="D26" s="24"/>
      <c r="E26" s="24"/>
      <c r="F26" s="24"/>
      <c r="G26" s="40">
        <v>0.85</v>
      </c>
      <c r="H26" s="43">
        <f t="shared" si="18"/>
        <v>0.85</v>
      </c>
      <c r="I26" s="40">
        <f t="shared" si="18"/>
        <v>0.85</v>
      </c>
      <c r="J26" s="40">
        <f t="shared" si="18"/>
        <v>0.85</v>
      </c>
      <c r="K26" s="40">
        <f t="shared" si="18"/>
        <v>0.85</v>
      </c>
    </row>
    <row r="27" spans="2:11" ht="6.75" customHeight="1" x14ac:dyDescent="0.25">
      <c r="B27" s="18"/>
      <c r="C27" s="18"/>
      <c r="D27" s="20"/>
      <c r="E27" s="20"/>
      <c r="F27" s="20"/>
      <c r="G27" s="41"/>
      <c r="H27" s="41"/>
      <c r="I27" s="27"/>
      <c r="J27" s="27"/>
      <c r="K27" s="27"/>
    </row>
    <row r="28" spans="2:11" x14ac:dyDescent="0.25">
      <c r="B28" s="18" t="s">
        <v>0</v>
      </c>
      <c r="C28" s="18"/>
      <c r="D28" s="20">
        <f>'P&amp;L source'!D13</f>
        <v>12282.09</v>
      </c>
      <c r="E28" s="20">
        <f>'P&amp;L source'!E13</f>
        <v>14879.89</v>
      </c>
      <c r="F28" s="20">
        <f>'P&amp;L source'!F13</f>
        <v>22727.739999999998</v>
      </c>
      <c r="G28" s="44">
        <f>+G$10*G29</f>
        <v>17588.695456500001</v>
      </c>
      <c r="H28" s="44">
        <f t="shared" ref="H28:K28" si="19">+H$10*H29</f>
        <v>19171.678047585003</v>
      </c>
      <c r="I28" s="44">
        <f t="shared" si="19"/>
        <v>20897.129071867654</v>
      </c>
      <c r="J28" s="44">
        <f t="shared" si="19"/>
        <v>22777.870688335744</v>
      </c>
      <c r="K28" s="44">
        <f t="shared" si="19"/>
        <v>24827.879050285963</v>
      </c>
    </row>
    <row r="29" spans="2:11" x14ac:dyDescent="0.25">
      <c r="B29" s="18" t="s">
        <v>25</v>
      </c>
      <c r="C29" s="18"/>
      <c r="D29" s="25">
        <f>D28/D$10</f>
        <v>9.7294785910658502E-2</v>
      </c>
      <c r="E29" s="25">
        <f t="shared" ref="E29" si="20">E28/E$10</f>
        <v>0.10441367882634227</v>
      </c>
      <c r="F29" s="25">
        <f t="shared" ref="F29" si="21">F28/F$10</f>
        <v>0.14788986763874609</v>
      </c>
      <c r="G29" s="40">
        <f>+CHOOSE($C$4,G30,G31,G32)</f>
        <v>0.105</v>
      </c>
      <c r="H29" s="40">
        <f t="shared" ref="H29" si="22">+CHOOSE($C$4,H30,H31,H32)</f>
        <v>0.105</v>
      </c>
      <c r="I29" s="42">
        <f t="shared" ref="I29" si="23">+CHOOSE($C$4,I30,I31,I32)</f>
        <v>0.105</v>
      </c>
      <c r="J29" s="42">
        <f t="shared" ref="J29" si="24">+CHOOSE($C$4,J30,J31,J32)</f>
        <v>0.105</v>
      </c>
      <c r="K29" s="42">
        <f t="shared" ref="K29" si="25">+CHOOSE($C$4,K30,K31,K32)</f>
        <v>0.105</v>
      </c>
    </row>
    <row r="30" spans="2:11" x14ac:dyDescent="0.25">
      <c r="B30" s="18" t="s">
        <v>22</v>
      </c>
      <c r="C30" s="18"/>
      <c r="D30" s="24"/>
      <c r="E30" s="24"/>
      <c r="F30" s="24"/>
      <c r="G30" s="40">
        <v>0.105</v>
      </c>
      <c r="H30" s="40">
        <f>G30</f>
        <v>0.105</v>
      </c>
      <c r="I30" s="40">
        <f t="shared" ref="I30:K30" si="26">H30</f>
        <v>0.105</v>
      </c>
      <c r="J30" s="40">
        <f t="shared" si="26"/>
        <v>0.105</v>
      </c>
      <c r="K30" s="40">
        <f t="shared" si="26"/>
        <v>0.105</v>
      </c>
    </row>
    <row r="31" spans="2:11" x14ac:dyDescent="0.25">
      <c r="B31" s="18" t="s">
        <v>23</v>
      </c>
      <c r="C31" s="18"/>
      <c r="D31" s="24"/>
      <c r="E31" s="24"/>
      <c r="F31" s="24"/>
      <c r="G31" s="43">
        <f>AVERAGE(D29:F29)</f>
        <v>0.1165327774585823</v>
      </c>
      <c r="H31" s="40">
        <f t="shared" ref="H31:K32" si="27">G31</f>
        <v>0.1165327774585823</v>
      </c>
      <c r="I31" s="43">
        <f t="shared" si="27"/>
        <v>0.1165327774585823</v>
      </c>
      <c r="J31" s="43">
        <f t="shared" si="27"/>
        <v>0.1165327774585823</v>
      </c>
      <c r="K31" s="43">
        <f t="shared" si="27"/>
        <v>0.1165327774585823</v>
      </c>
    </row>
    <row r="32" spans="2:11" x14ac:dyDescent="0.25">
      <c r="B32" s="18" t="s">
        <v>24</v>
      </c>
      <c r="C32" s="18"/>
      <c r="D32" s="24"/>
      <c r="E32" s="24"/>
      <c r="F32" s="24"/>
      <c r="G32" s="40">
        <v>0.15</v>
      </c>
      <c r="H32" s="40">
        <f t="shared" si="27"/>
        <v>0.15</v>
      </c>
      <c r="I32" s="40">
        <f t="shared" si="27"/>
        <v>0.15</v>
      </c>
      <c r="J32" s="40">
        <f t="shared" si="27"/>
        <v>0.15</v>
      </c>
      <c r="K32" s="40">
        <f t="shared" si="27"/>
        <v>0.15</v>
      </c>
    </row>
    <row r="33" spans="2:11" ht="7.5" customHeight="1" x14ac:dyDescent="0.25">
      <c r="B33" s="18"/>
      <c r="C33" s="18"/>
      <c r="D33" s="20"/>
      <c r="E33" s="20"/>
      <c r="F33" s="20"/>
      <c r="G33" s="41"/>
      <c r="H33" s="41"/>
      <c r="I33" s="27"/>
      <c r="J33" s="27"/>
      <c r="K33" s="27"/>
    </row>
    <row r="34" spans="2:11" x14ac:dyDescent="0.25">
      <c r="B34" s="18" t="s">
        <v>1</v>
      </c>
      <c r="C34" s="18"/>
      <c r="D34" s="20">
        <f>'P&amp;L source'!D19</f>
        <v>1751.01</v>
      </c>
      <c r="E34" s="20">
        <f>'P&amp;L source'!E19</f>
        <v>1963.02</v>
      </c>
      <c r="F34" s="20">
        <f>'P&amp;L source'!F19</f>
        <v>1985.4</v>
      </c>
      <c r="G34" s="44">
        <f>+G$10*G35</f>
        <v>1675.1138530000003</v>
      </c>
      <c r="H34" s="44">
        <f t="shared" ref="H34:K34" si="28">+H$10*H35</f>
        <v>1825.8740997700004</v>
      </c>
      <c r="I34" s="44">
        <f t="shared" si="28"/>
        <v>1990.2027687493005</v>
      </c>
      <c r="J34" s="44">
        <f t="shared" si="28"/>
        <v>2169.3210179367375</v>
      </c>
      <c r="K34" s="44">
        <f t="shared" si="28"/>
        <v>2364.5599095510443</v>
      </c>
    </row>
    <row r="35" spans="2:11" x14ac:dyDescent="0.25">
      <c r="B35" s="18" t="s">
        <v>25</v>
      </c>
      <c r="C35" s="18"/>
      <c r="D35" s="25">
        <f>D34/D$10</f>
        <v>1.3870940782669899E-2</v>
      </c>
      <c r="E35" s="25">
        <f t="shared" ref="E35" si="29">E34/E$10</f>
        <v>1.3774707999164403E-2</v>
      </c>
      <c r="F35" s="25">
        <f t="shared" ref="F35" si="30">F34/F$10</f>
        <v>1.291903828581137E-2</v>
      </c>
      <c r="G35" s="40">
        <f>+CHOOSE($C$4,G36,G37,G38)</f>
        <v>0.01</v>
      </c>
      <c r="H35" s="40">
        <f t="shared" ref="H35:K35" si="31">+CHOOSE($C$4,H36,H37,H38)</f>
        <v>0.01</v>
      </c>
      <c r="I35" s="40">
        <f t="shared" si="31"/>
        <v>0.01</v>
      </c>
      <c r="J35" s="40">
        <f t="shared" si="31"/>
        <v>0.01</v>
      </c>
      <c r="K35" s="40">
        <f t="shared" si="31"/>
        <v>0.01</v>
      </c>
    </row>
    <row r="36" spans="2:11" x14ac:dyDescent="0.25">
      <c r="B36" s="18" t="s">
        <v>22</v>
      </c>
      <c r="C36" s="18"/>
      <c r="D36" s="24"/>
      <c r="E36" s="24"/>
      <c r="F36" s="24"/>
      <c r="G36" s="40">
        <v>0.01</v>
      </c>
      <c r="H36" s="40">
        <f>G36</f>
        <v>0.01</v>
      </c>
      <c r="I36" s="40">
        <f t="shared" ref="I36:K36" si="32">H36</f>
        <v>0.01</v>
      </c>
      <c r="J36" s="40">
        <f t="shared" si="32"/>
        <v>0.01</v>
      </c>
      <c r="K36" s="40">
        <f t="shared" si="32"/>
        <v>0.01</v>
      </c>
    </row>
    <row r="37" spans="2:11" x14ac:dyDescent="0.25">
      <c r="B37" s="18" t="s">
        <v>23</v>
      </c>
      <c r="C37" s="18"/>
      <c r="D37" s="24"/>
      <c r="E37" s="24"/>
      <c r="F37" s="24"/>
      <c r="G37" s="43">
        <v>1.2999999999999999E-2</v>
      </c>
      <c r="H37" s="40">
        <f t="shared" ref="H37:K38" si="33">G37</f>
        <v>1.2999999999999999E-2</v>
      </c>
      <c r="I37" s="43">
        <f t="shared" si="33"/>
        <v>1.2999999999999999E-2</v>
      </c>
      <c r="J37" s="43">
        <f t="shared" si="33"/>
        <v>1.2999999999999999E-2</v>
      </c>
      <c r="K37" s="43">
        <f t="shared" si="33"/>
        <v>1.2999999999999999E-2</v>
      </c>
    </row>
    <row r="38" spans="2:11" x14ac:dyDescent="0.25">
      <c r="B38" s="18" t="s">
        <v>24</v>
      </c>
      <c r="C38" s="18"/>
      <c r="D38" s="24"/>
      <c r="E38" s="24"/>
      <c r="F38" s="24"/>
      <c r="G38" s="40">
        <v>1.7000000000000001E-2</v>
      </c>
      <c r="H38" s="40">
        <f t="shared" si="33"/>
        <v>1.7000000000000001E-2</v>
      </c>
      <c r="I38" s="40">
        <f t="shared" si="33"/>
        <v>1.7000000000000001E-2</v>
      </c>
      <c r="J38" s="40">
        <f t="shared" si="33"/>
        <v>1.7000000000000001E-2</v>
      </c>
      <c r="K38" s="40">
        <f t="shared" si="33"/>
        <v>1.7000000000000001E-2</v>
      </c>
    </row>
    <row r="39" spans="2:11" ht="6.75" customHeight="1" x14ac:dyDescent="0.25">
      <c r="B39" s="18"/>
      <c r="C39" s="18"/>
      <c r="D39" s="20"/>
      <c r="E39" s="20"/>
      <c r="F39" s="20"/>
      <c r="G39" s="41"/>
      <c r="H39" s="41"/>
      <c r="I39" s="27"/>
      <c r="J39" s="27"/>
      <c r="K39" s="27"/>
    </row>
    <row r="40" spans="2:11" x14ac:dyDescent="0.25">
      <c r="B40" s="18" t="s">
        <v>175</v>
      </c>
      <c r="C40" s="18"/>
      <c r="D40" s="20">
        <f>'P&amp;L source'!D21</f>
        <v>2405.83</v>
      </c>
      <c r="E40" s="20">
        <f>'P&amp;L source'!E21</f>
        <v>2195.46</v>
      </c>
      <c r="F40" s="20">
        <f>'P&amp;L source'!F21</f>
        <v>1675.42</v>
      </c>
      <c r="G40" s="44">
        <f>+F40*(1+G41)</f>
        <v>1539.5801342630268</v>
      </c>
      <c r="H40" s="44">
        <f t="shared" ref="H40:K40" si="34">+G40*(1+H41)</f>
        <v>1414.7539063741388</v>
      </c>
      <c r="I40" s="44">
        <f t="shared" si="34"/>
        <v>1300.0483515325338</v>
      </c>
      <c r="J40" s="44">
        <f t="shared" si="34"/>
        <v>1194.6429048243933</v>
      </c>
      <c r="K40" s="44">
        <f t="shared" si="34"/>
        <v>1097.7835311778013</v>
      </c>
    </row>
    <row r="41" spans="2:11" x14ac:dyDescent="0.25">
      <c r="B41" s="18" t="s">
        <v>21</v>
      </c>
      <c r="C41" s="18"/>
      <c r="D41" s="25"/>
      <c r="E41" s="25">
        <f>E40/D40-1</f>
        <v>-8.7441756067552556E-2</v>
      </c>
      <c r="F41" s="25">
        <f>F40/E40-1</f>
        <v>-0.23687063303362388</v>
      </c>
      <c r="G41" s="40">
        <f>+CHOOSE($C$4,G42,G43,G44)</f>
        <v>-8.1078097275294109E-2</v>
      </c>
      <c r="H41" s="40">
        <f t="shared" ref="H41:K41" si="35">+CHOOSE($C$4,H42,H43,H44)</f>
        <v>-8.1078097275294109E-2</v>
      </c>
      <c r="I41" s="40">
        <f t="shared" si="35"/>
        <v>-8.1078097275294109E-2</v>
      </c>
      <c r="J41" s="40">
        <f t="shared" si="35"/>
        <v>-8.1078097275294109E-2</v>
      </c>
      <c r="K41" s="40">
        <f t="shared" si="35"/>
        <v>-8.1078097275294109E-2</v>
      </c>
    </row>
    <row r="42" spans="2:11" x14ac:dyDescent="0.25">
      <c r="B42" s="18" t="s">
        <v>22</v>
      </c>
      <c r="C42" s="18"/>
      <c r="D42" s="24"/>
      <c r="E42" s="24"/>
      <c r="F42" s="24"/>
      <c r="G42" s="40">
        <f>AVERAGE(D41:F41)/2</f>
        <v>-8.1078097275294109E-2</v>
      </c>
      <c r="H42" s="43">
        <f>G42</f>
        <v>-8.1078097275294109E-2</v>
      </c>
      <c r="I42" s="43">
        <f t="shared" ref="I42:K42" si="36">H42</f>
        <v>-8.1078097275294109E-2</v>
      </c>
      <c r="J42" s="43">
        <f t="shared" si="36"/>
        <v>-8.1078097275294109E-2</v>
      </c>
      <c r="K42" s="43">
        <f t="shared" si="36"/>
        <v>-8.1078097275294109E-2</v>
      </c>
    </row>
    <row r="43" spans="2:11" x14ac:dyDescent="0.25">
      <c r="B43" s="18" t="s">
        <v>23</v>
      </c>
      <c r="C43" s="18"/>
      <c r="D43" s="24"/>
      <c r="E43" s="24"/>
      <c r="F43" s="24"/>
      <c r="G43" s="43">
        <f>AVERAGE(D41:F41)</f>
        <v>-0.16215619455058822</v>
      </c>
      <c r="H43" s="43">
        <f t="shared" ref="H43:H44" si="37">G43</f>
        <v>-0.16215619455058822</v>
      </c>
      <c r="I43" s="43">
        <f t="shared" ref="I43:K44" si="38">H43</f>
        <v>-0.16215619455058822</v>
      </c>
      <c r="J43" s="43">
        <f t="shared" si="38"/>
        <v>-0.16215619455058822</v>
      </c>
      <c r="K43" s="43">
        <f t="shared" si="38"/>
        <v>-0.16215619455058822</v>
      </c>
    </row>
    <row r="44" spans="2:11" x14ac:dyDescent="0.25">
      <c r="B44" s="18" t="s">
        <v>24</v>
      </c>
      <c r="C44" s="18"/>
      <c r="D44" s="24"/>
      <c r="E44" s="24"/>
      <c r="F44" s="24"/>
      <c r="G44" s="40">
        <v>0.08</v>
      </c>
      <c r="H44" s="43">
        <f t="shared" si="37"/>
        <v>0.08</v>
      </c>
      <c r="I44" s="43">
        <f t="shared" si="38"/>
        <v>0.08</v>
      </c>
      <c r="J44" s="43">
        <f t="shared" si="38"/>
        <v>0.08</v>
      </c>
      <c r="K44" s="43">
        <f t="shared" si="38"/>
        <v>0.08</v>
      </c>
    </row>
    <row r="45" spans="2:11" ht="6.75" customHeight="1" x14ac:dyDescent="0.25">
      <c r="B45" s="18"/>
      <c r="C45" s="18"/>
      <c r="D45" s="20"/>
      <c r="E45" s="20"/>
      <c r="F45" s="20"/>
      <c r="G45" s="41"/>
      <c r="H45" s="41"/>
      <c r="I45" s="27"/>
      <c r="J45" s="27"/>
      <c r="K45" s="27"/>
    </row>
    <row r="46" spans="2:11" x14ac:dyDescent="0.25">
      <c r="B46" s="18" t="s">
        <v>2</v>
      </c>
      <c r="C46" s="18"/>
      <c r="D46" s="20">
        <f>'P&amp;L source'!D23</f>
        <v>2011.98</v>
      </c>
      <c r="E46" s="20">
        <f>'P&amp;L source'!E23</f>
        <v>2703.04</v>
      </c>
      <c r="F46" s="20">
        <f>'P&amp;L source'!F23</f>
        <v>2854.09</v>
      </c>
      <c r="G46" s="44">
        <f>+('P&amp;L'!G14*'P&amp;L assumptions'!G47)</f>
        <v>3096.9020424355435</v>
      </c>
      <c r="H46" s="44">
        <f>+('P&amp;L'!H14*'P&amp;L assumptions'!H47)</f>
        <v>3403.2108032506312</v>
      </c>
      <c r="I46" s="44">
        <f>+('P&amp;L'!I14*'P&amp;L assumptions'!I47)</f>
        <v>3732.9304423854746</v>
      </c>
      <c r="J46" s="44">
        <f>+('P&amp;L'!J14*'P&amp;L assumptions'!J47)</f>
        <v>4088.3513603024794</v>
      </c>
      <c r="K46" s="44">
        <f>+('P&amp;L'!K14*'P&amp;L assumptions'!K47)</f>
        <v>4471.9429330102548</v>
      </c>
    </row>
    <row r="47" spans="2:11" x14ac:dyDescent="0.25">
      <c r="B47" s="18" t="s">
        <v>26</v>
      </c>
      <c r="C47" s="18"/>
      <c r="D47" s="26">
        <f>'P&amp;L source'!D23/'P&amp;L source'!D22</f>
        <v>0.17779470516449258</v>
      </c>
      <c r="E47" s="26">
        <f>'P&amp;L source'!E23/'P&amp;L source'!E22</f>
        <v>0.19913715875335933</v>
      </c>
      <c r="F47" s="26">
        <f>'P&amp;L source'!F23/'P&amp;L source'!F22</f>
        <v>0.31222200100205344</v>
      </c>
      <c r="G47" s="40">
        <f>+CHOOSE($C$4,G48,G49,G50)</f>
        <v>0.15</v>
      </c>
      <c r="H47" s="40">
        <f t="shared" ref="H47" si="39">+CHOOSE($C$4,H48,H49,H50)</f>
        <v>0.15</v>
      </c>
      <c r="I47" s="42">
        <f t="shared" ref="I47" si="40">+CHOOSE($C$4,I48,I49,I50)</f>
        <v>0.15</v>
      </c>
      <c r="J47" s="42">
        <f t="shared" ref="J47" si="41">+CHOOSE($C$4,J48,J49,J50)</f>
        <v>0.15</v>
      </c>
      <c r="K47" s="42">
        <f t="shared" ref="K47" si="42">+CHOOSE($C$4,K48,K49,K50)</f>
        <v>0.15</v>
      </c>
    </row>
    <row r="48" spans="2:11" x14ac:dyDescent="0.25">
      <c r="B48" s="18" t="s">
        <v>22</v>
      </c>
      <c r="C48" s="18"/>
      <c r="D48" s="24"/>
      <c r="E48" s="24"/>
      <c r="F48" s="24"/>
      <c r="G48" s="40">
        <v>0.15</v>
      </c>
      <c r="H48" s="43">
        <f>G48</f>
        <v>0.15</v>
      </c>
      <c r="I48" s="43">
        <f t="shared" ref="I48:K48" si="43">H48</f>
        <v>0.15</v>
      </c>
      <c r="J48" s="43">
        <f t="shared" si="43"/>
        <v>0.15</v>
      </c>
      <c r="K48" s="43">
        <f t="shared" si="43"/>
        <v>0.15</v>
      </c>
    </row>
    <row r="49" spans="2:11" x14ac:dyDescent="0.25">
      <c r="B49" s="18" t="s">
        <v>23</v>
      </c>
      <c r="C49" s="18"/>
      <c r="D49" s="24"/>
      <c r="E49" s="24"/>
      <c r="F49" s="24"/>
      <c r="G49" s="43">
        <v>0.2</v>
      </c>
      <c r="H49" s="43">
        <f t="shared" ref="H49:K50" si="44">G49</f>
        <v>0.2</v>
      </c>
      <c r="I49" s="43">
        <f t="shared" si="44"/>
        <v>0.2</v>
      </c>
      <c r="J49" s="43">
        <f t="shared" si="44"/>
        <v>0.2</v>
      </c>
      <c r="K49" s="43">
        <f t="shared" si="44"/>
        <v>0.2</v>
      </c>
    </row>
    <row r="50" spans="2:11" x14ac:dyDescent="0.25">
      <c r="B50" s="18" t="s">
        <v>24</v>
      </c>
      <c r="D50" s="24"/>
      <c r="E50" s="24"/>
      <c r="F50" s="24"/>
      <c r="G50" s="42">
        <v>0.35</v>
      </c>
      <c r="H50" s="43">
        <f t="shared" si="44"/>
        <v>0.35</v>
      </c>
      <c r="I50" s="43">
        <f t="shared" si="44"/>
        <v>0.35</v>
      </c>
      <c r="J50" s="43">
        <f t="shared" si="44"/>
        <v>0.35</v>
      </c>
      <c r="K50" s="43">
        <f t="shared" si="44"/>
        <v>0.35</v>
      </c>
    </row>
  </sheetData>
  <sheetProtection sheet="1" objects="1" scenarios="1"/>
  <dataValidations count="1">
    <dataValidation type="list" allowBlank="1" showInputMessage="1" showErrorMessage="1" sqref="C4" xr:uid="{05DFAB5D-D3B1-455A-A74A-8BA357CF83F7}">
      <formula1>"1,2,3"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5A3D2-2414-4C06-909E-F9AD3B8569B7}">
  <sheetPr codeName="Sheet3"/>
  <dimension ref="B1:K40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2.7109375" customWidth="1"/>
    <col min="2" max="2" width="28" bestFit="1" customWidth="1"/>
    <col min="4" max="6" width="10.140625" bestFit="1" customWidth="1"/>
    <col min="7" max="11" width="11.5703125" bestFit="1" customWidth="1"/>
  </cols>
  <sheetData>
    <row r="1" spans="2:11" ht="15.75" x14ac:dyDescent="0.25">
      <c r="B1" s="7" t="s">
        <v>41</v>
      </c>
    </row>
    <row r="2" spans="2:11" ht="15.75" x14ac:dyDescent="0.25">
      <c r="B2" s="7"/>
    </row>
    <row r="3" spans="2:11" x14ac:dyDescent="0.25">
      <c r="D3" s="210" t="s">
        <v>11</v>
      </c>
      <c r="E3" s="210"/>
      <c r="F3" s="210"/>
      <c r="G3" s="211" t="s">
        <v>12</v>
      </c>
      <c r="H3" s="211"/>
      <c r="I3" s="211"/>
      <c r="J3" s="211"/>
      <c r="K3" s="211"/>
    </row>
    <row r="4" spans="2:11" ht="15.75" thickBot="1" x14ac:dyDescent="0.3">
      <c r="B4" s="33" t="s">
        <v>35</v>
      </c>
      <c r="C4" s="34"/>
      <c r="D4" s="35">
        <v>45382</v>
      </c>
      <c r="E4" s="36">
        <v>45747</v>
      </c>
      <c r="F4" s="36">
        <v>46112</v>
      </c>
      <c r="G4" s="37">
        <v>46477</v>
      </c>
      <c r="H4" s="37">
        <v>46843</v>
      </c>
      <c r="I4" s="37">
        <v>47208</v>
      </c>
      <c r="J4" s="37">
        <v>47573</v>
      </c>
      <c r="K4" s="37">
        <v>47938</v>
      </c>
    </row>
    <row r="5" spans="2:11" x14ac:dyDescent="0.25">
      <c r="B5" t="s">
        <v>27</v>
      </c>
      <c r="D5" s="75">
        <f>'BS_L&amp;T'!D38</f>
        <v>36961.550000000003</v>
      </c>
      <c r="E5" s="75">
        <f>'BS_L&amp;T'!C38</f>
        <v>38330.18</v>
      </c>
      <c r="F5" s="75">
        <f>'BS_L&amp;T'!B38</f>
        <v>45330.3</v>
      </c>
      <c r="G5" s="156">
        <f>(G6*'P&amp;L assumptions'!G10)/365</f>
        <v>49410.027000000002</v>
      </c>
      <c r="H5" s="156">
        <f>(H6*'P&amp;L assumptions'!H10)/365</f>
        <v>53856.929430000004</v>
      </c>
      <c r="I5" s="156">
        <f>(I6*'P&amp;L assumptions'!I10)/365</f>
        <v>58704.05307870001</v>
      </c>
      <c r="J5" s="156">
        <f>(J6*'P&amp;L assumptions'!J10)/365</f>
        <v>63987.417855783009</v>
      </c>
      <c r="K5" s="156">
        <f>(K6*'P&amp;L assumptions'!K10)/365</f>
        <v>69746.285462803484</v>
      </c>
    </row>
    <row r="6" spans="2:11" x14ac:dyDescent="0.25">
      <c r="B6" s="38" t="s">
        <v>38</v>
      </c>
      <c r="D6" s="5">
        <f>D5/'P&amp;L assumptions'!D10*365</f>
        <v>106.87111268312448</v>
      </c>
      <c r="E6" s="5">
        <f>E5/'P&amp;L assumptions'!E10*365</f>
        <v>98.172850263993837</v>
      </c>
      <c r="F6" s="5">
        <f>F5/'P&amp;L assumptions'!F10*365</f>
        <v>107.6622930596706</v>
      </c>
      <c r="G6" s="28">
        <f>$F$6</f>
        <v>107.6622930596706</v>
      </c>
      <c r="H6" s="28">
        <f t="shared" ref="H6:K6" si="0">$F$6</f>
        <v>107.6622930596706</v>
      </c>
      <c r="I6" s="28">
        <f t="shared" si="0"/>
        <v>107.6622930596706</v>
      </c>
      <c r="J6" s="28">
        <f t="shared" si="0"/>
        <v>107.6622930596706</v>
      </c>
      <c r="K6" s="28">
        <f t="shared" si="0"/>
        <v>107.6622930596706</v>
      </c>
    </row>
    <row r="7" spans="2:11" ht="6" customHeight="1" x14ac:dyDescent="0.25">
      <c r="B7" s="38"/>
      <c r="D7" s="6"/>
      <c r="E7" s="6"/>
      <c r="F7" s="6"/>
      <c r="G7" s="27"/>
      <c r="H7" s="27"/>
      <c r="I7" s="27"/>
      <c r="J7" s="27"/>
      <c r="K7" s="27"/>
    </row>
    <row r="8" spans="2:11" x14ac:dyDescent="0.25">
      <c r="B8" t="s">
        <v>28</v>
      </c>
      <c r="D8" s="75">
        <f>'BS_L&amp;T'!D37</f>
        <v>3520.97</v>
      </c>
      <c r="E8" s="75">
        <f>'BS_L&amp;T'!C37</f>
        <v>3398.77</v>
      </c>
      <c r="F8" s="75">
        <f>'BS_L&amp;T'!B37</f>
        <v>3690.92</v>
      </c>
      <c r="G8" s="156">
        <f>(G9*'P&amp;L assumptions'!G$22)/365</f>
        <v>3940.892910692035</v>
      </c>
      <c r="H8" s="156">
        <f>(H9*'P&amp;L assumptions'!H$22)/365</f>
        <v>4295.5732726543174</v>
      </c>
      <c r="I8" s="156">
        <f>(I9*'P&amp;L assumptions'!I$22)/365</f>
        <v>4682.1748671932073</v>
      </c>
      <c r="J8" s="156">
        <f>(J9*'P&amp;L assumptions'!J$22)/365</f>
        <v>5103.5706052405967</v>
      </c>
      <c r="K8" s="156">
        <f>(K9*'P&amp;L assumptions'!K$22)/365</f>
        <v>5562.8919597122504</v>
      </c>
    </row>
    <row r="9" spans="2:11" x14ac:dyDescent="0.25">
      <c r="B9" s="38" t="s">
        <v>39</v>
      </c>
      <c r="D9" s="5">
        <f>D8/'P&amp;L assumptions'!D$22*365</f>
        <v>12.378530841626675</v>
      </c>
      <c r="E9" s="5">
        <f>E8/'P&amp;L assumptions'!E$22*365</f>
        <v>10.734559333105413</v>
      </c>
      <c r="F9" s="5">
        <f>F8/'P&amp;L assumptions'!F$22*365</f>
        <v>10.733792137669347</v>
      </c>
      <c r="G9" s="28">
        <f>$F$9</f>
        <v>10.733792137669347</v>
      </c>
      <c r="H9" s="28">
        <f t="shared" ref="H9:K9" si="1">$F$9</f>
        <v>10.733792137669347</v>
      </c>
      <c r="I9" s="28">
        <f t="shared" si="1"/>
        <v>10.733792137669347</v>
      </c>
      <c r="J9" s="28">
        <f t="shared" si="1"/>
        <v>10.733792137669347</v>
      </c>
      <c r="K9" s="28">
        <f t="shared" si="1"/>
        <v>10.733792137669347</v>
      </c>
    </row>
    <row r="10" spans="2:11" ht="7.5" customHeight="1" x14ac:dyDescent="0.25">
      <c r="D10" s="6"/>
      <c r="E10" s="6"/>
      <c r="F10" s="6"/>
      <c r="G10" s="27"/>
      <c r="H10" s="27"/>
      <c r="I10" s="27"/>
      <c r="J10" s="27"/>
      <c r="K10" s="27"/>
    </row>
    <row r="11" spans="2:11" x14ac:dyDescent="0.25">
      <c r="B11" t="s">
        <v>30</v>
      </c>
      <c r="D11" s="75">
        <f>'BS_L&amp;T'!D18</f>
        <v>40846.33</v>
      </c>
      <c r="E11" s="75">
        <f>'BS_L&amp;T'!C18</f>
        <v>38795.99</v>
      </c>
      <c r="F11" s="75">
        <f>'BS_L&amp;T'!B18</f>
        <v>49140.51</v>
      </c>
      <c r="G11" s="156">
        <f>(G12*'P&amp;L assumptions'!G$22)/365</f>
        <v>52468.622318227171</v>
      </c>
      <c r="H11" s="156">
        <f>(H12*'P&amp;L assumptions'!H$22)/365</f>
        <v>57190.798326867618</v>
      </c>
      <c r="I11" s="156">
        <f>(I12*'P&amp;L assumptions'!I$22)/365</f>
        <v>62337.970176285708</v>
      </c>
      <c r="J11" s="156">
        <f>(J12*'P&amp;L assumptions'!J$22)/365</f>
        <v>67948.387492151436</v>
      </c>
      <c r="K11" s="156">
        <f>(K12*'P&amp;L assumptions'!K$22)/365</f>
        <v>74063.742366445062</v>
      </c>
    </row>
    <row r="12" spans="2:11" x14ac:dyDescent="0.25">
      <c r="B12" s="38" t="s">
        <v>40</v>
      </c>
      <c r="D12" s="5">
        <f>D11/'P&amp;L assumptions'!D$22*365</f>
        <v>143.6017789621215</v>
      </c>
      <c r="E12" s="5">
        <f>E11/'P&amp;L assumptions'!E$22*365</f>
        <v>122.53193259372192</v>
      </c>
      <c r="F12" s="5">
        <f>F11/'P&amp;L assumptions'!F$22*365</f>
        <v>142.90854851339554</v>
      </c>
      <c r="G12" s="28">
        <f>$F$12</f>
        <v>142.90854851339554</v>
      </c>
      <c r="H12" s="28">
        <f t="shared" ref="H12:K12" si="2">$F$12</f>
        <v>142.90854851339554</v>
      </c>
      <c r="I12" s="28">
        <f t="shared" si="2"/>
        <v>142.90854851339554</v>
      </c>
      <c r="J12" s="28">
        <f t="shared" si="2"/>
        <v>142.90854851339554</v>
      </c>
      <c r="K12" s="28">
        <f t="shared" si="2"/>
        <v>142.90854851339554</v>
      </c>
    </row>
    <row r="13" spans="2:11" ht="9" customHeight="1" x14ac:dyDescent="0.25">
      <c r="D13" s="6"/>
      <c r="E13" s="6"/>
      <c r="F13" s="6"/>
      <c r="G13" s="27"/>
      <c r="H13" s="27"/>
      <c r="I13" s="27"/>
      <c r="J13" s="27"/>
      <c r="K13" s="27"/>
    </row>
    <row r="14" spans="2:11" ht="6" customHeight="1" x14ac:dyDescent="0.25">
      <c r="G14" s="27"/>
      <c r="H14" s="27"/>
      <c r="I14" s="27"/>
      <c r="J14" s="27"/>
      <c r="K14" s="27"/>
    </row>
    <row r="15" spans="2:11" x14ac:dyDescent="0.25">
      <c r="B15" t="s">
        <v>236</v>
      </c>
      <c r="D15" s="75">
        <f>'BS_L&amp;T'!D36</f>
        <v>16813.34</v>
      </c>
      <c r="E15" s="75">
        <f>'BS_L&amp;T'!C36</f>
        <v>24788.29</v>
      </c>
      <c r="F15" s="75">
        <f>'BS_L&amp;T'!B36</f>
        <v>29612.560000000001</v>
      </c>
      <c r="G15" s="156">
        <f>G16*'P&amp;L assumptions'!G10</f>
        <v>32277.690400000003</v>
      </c>
      <c r="H15" s="156">
        <f>H16*'P&amp;L assumptions'!H10</f>
        <v>35182.682536</v>
      </c>
      <c r="I15" s="156">
        <f>I16*'P&amp;L assumptions'!I10</f>
        <v>38349.123964240003</v>
      </c>
      <c r="J15" s="156">
        <f>J16*'P&amp;L assumptions'!J10</f>
        <v>41800.545121021605</v>
      </c>
      <c r="K15" s="156">
        <f>K16*'P&amp;L assumptions'!K10</f>
        <v>45562.594181913555</v>
      </c>
    </row>
    <row r="16" spans="2:11" x14ac:dyDescent="0.25">
      <c r="B16" s="38" t="s">
        <v>25</v>
      </c>
      <c r="D16" s="23">
        <f>D15/'P&amp;L assumptions'!D$10</f>
        <v>0.13318989811531351</v>
      </c>
      <c r="E16" s="23">
        <f>E15/'P&amp;L assumptions'!E$10</f>
        <v>0.17394191426913988</v>
      </c>
      <c r="F16" s="23">
        <f>F15/'P&amp;L assumptions'!F$10</f>
        <v>0.19268953177238154</v>
      </c>
      <c r="G16" s="45">
        <f>$F$16</f>
        <v>0.19268953177238154</v>
      </c>
      <c r="H16" s="45">
        <f t="shared" ref="H16:K16" si="3">$F$16</f>
        <v>0.19268953177238154</v>
      </c>
      <c r="I16" s="45">
        <f t="shared" si="3"/>
        <v>0.19268953177238154</v>
      </c>
      <c r="J16" s="45">
        <f t="shared" si="3"/>
        <v>0.19268953177238154</v>
      </c>
      <c r="K16" s="45">
        <f t="shared" si="3"/>
        <v>0.19268953177238154</v>
      </c>
    </row>
    <row r="17" spans="2:11" ht="7.5" customHeight="1" x14ac:dyDescent="0.25">
      <c r="D17" s="6"/>
      <c r="E17" s="6"/>
      <c r="F17" s="6"/>
      <c r="G17" s="27"/>
      <c r="H17" s="27"/>
      <c r="I17" s="27"/>
      <c r="J17" s="27"/>
      <c r="K17" s="27"/>
    </row>
    <row r="18" spans="2:11" x14ac:dyDescent="0.25">
      <c r="B18" t="s">
        <v>279</v>
      </c>
      <c r="D18" s="75">
        <f>'BS_L&amp;T'!D40</f>
        <v>63.04</v>
      </c>
      <c r="E18" s="75">
        <f>'BS_L&amp;T'!C40</f>
        <v>635.02</v>
      </c>
      <c r="F18" s="75">
        <f>'BS_L&amp;T'!B40</f>
        <v>352.71</v>
      </c>
      <c r="G18" s="156">
        <f>G19*'P&amp;L assumptions'!G$10</f>
        <v>384.45390000000003</v>
      </c>
      <c r="H18" s="156">
        <f>H19*'P&amp;L assumptions'!H$10</f>
        <v>419.05475100000001</v>
      </c>
      <c r="I18" s="156">
        <f>I19*'P&amp;L assumptions'!I$10</f>
        <v>456.76967859000007</v>
      </c>
      <c r="J18" s="156">
        <f>J19*'P&amp;L assumptions'!J$10</f>
        <v>497.87894966310006</v>
      </c>
      <c r="K18" s="156">
        <f>K19*'P&amp;L assumptions'!K$10</f>
        <v>542.68805513277914</v>
      </c>
    </row>
    <row r="19" spans="2:11" x14ac:dyDescent="0.25">
      <c r="B19" s="38" t="s">
        <v>25</v>
      </c>
      <c r="D19" s="23">
        <f>D18/'P&amp;L assumptions'!D$10</f>
        <v>4.993827030910791E-4</v>
      </c>
      <c r="E19" s="23">
        <f>E18/'P&amp;L assumptions'!E$10</f>
        <v>4.4559989575395963E-3</v>
      </c>
      <c r="F19" s="23">
        <f>F18/'P&amp;L assumptions'!F$10</f>
        <v>2.2950911623796353E-3</v>
      </c>
      <c r="G19" s="45">
        <f>$F$19</f>
        <v>2.2950911623796353E-3</v>
      </c>
      <c r="H19" s="45">
        <f t="shared" ref="H19:K19" si="4">$F$19</f>
        <v>2.2950911623796353E-3</v>
      </c>
      <c r="I19" s="45">
        <f t="shared" si="4"/>
        <v>2.2950911623796353E-3</v>
      </c>
      <c r="J19" s="45">
        <f t="shared" si="4"/>
        <v>2.2950911623796353E-3</v>
      </c>
      <c r="K19" s="45">
        <f t="shared" si="4"/>
        <v>2.2950911623796353E-3</v>
      </c>
    </row>
    <row r="20" spans="2:11" ht="7.5" customHeight="1" x14ac:dyDescent="0.25">
      <c r="G20" s="27"/>
      <c r="H20" s="27"/>
      <c r="I20" s="27"/>
      <c r="J20" s="27"/>
      <c r="K20" s="27"/>
    </row>
    <row r="21" spans="2:11" x14ac:dyDescent="0.25">
      <c r="B21" t="s">
        <v>278</v>
      </c>
      <c r="D21" s="75">
        <f>'BS_L&amp;T'!D41</f>
        <v>62541.16</v>
      </c>
      <c r="E21" s="75">
        <f>'BS_L&amp;T'!C41</f>
        <v>61073.69</v>
      </c>
      <c r="F21" s="75">
        <f>'BS_L&amp;T'!B41</f>
        <v>73380.45</v>
      </c>
      <c r="G21" s="156">
        <f>G22*'P&amp;L assumptions'!G$10</f>
        <v>79984.690499999997</v>
      </c>
      <c r="H21" s="156">
        <f>H22*'P&amp;L assumptions'!H$10</f>
        <v>87183.312644999998</v>
      </c>
      <c r="I21" s="156">
        <f>I22*'P&amp;L assumptions'!I$10</f>
        <v>95029.810783050008</v>
      </c>
      <c r="J21" s="156">
        <f>J22*'P&amp;L assumptions'!J$10</f>
        <v>103582.49375352451</v>
      </c>
      <c r="K21" s="156">
        <f>K22*'P&amp;L assumptions'!K$10</f>
        <v>112904.91819134173</v>
      </c>
    </row>
    <row r="22" spans="2:11" x14ac:dyDescent="0.25">
      <c r="B22" s="38" t="s">
        <v>25</v>
      </c>
      <c r="D22" s="23">
        <f>D21/'P&amp;L assumptions'!D$10</f>
        <v>0.49543105227239331</v>
      </c>
      <c r="E22" s="23">
        <f>E21/'P&amp;L assumptions'!E$10</f>
        <v>0.42856020121113747</v>
      </c>
      <c r="F22" s="23">
        <f>F21/'P&amp;L assumptions'!F$10</f>
        <v>0.47748808450693403</v>
      </c>
      <c r="G22" s="45">
        <f>$F$22</f>
        <v>0.47748808450693403</v>
      </c>
      <c r="H22" s="45">
        <f t="shared" ref="H22:K22" si="5">$F$22</f>
        <v>0.47748808450693403</v>
      </c>
      <c r="I22" s="45">
        <f t="shared" si="5"/>
        <v>0.47748808450693403</v>
      </c>
      <c r="J22" s="45">
        <f t="shared" si="5"/>
        <v>0.47748808450693403</v>
      </c>
      <c r="K22" s="45">
        <f t="shared" si="5"/>
        <v>0.47748808450693403</v>
      </c>
    </row>
    <row r="23" spans="2:11" ht="6.75" customHeight="1" x14ac:dyDescent="0.25">
      <c r="G23" s="27"/>
      <c r="H23" s="27"/>
      <c r="I23" s="27"/>
      <c r="J23" s="27"/>
      <c r="K23" s="27"/>
    </row>
    <row r="24" spans="2:11" x14ac:dyDescent="0.25">
      <c r="B24" t="s">
        <v>234</v>
      </c>
      <c r="D24" s="75">
        <f>SUM('BS_L&amp;T'!D30:D33)</f>
        <v>38150.11</v>
      </c>
      <c r="E24" s="75">
        <f>SUM('BS_L&amp;T'!C30:C33)</f>
        <v>41450.720000000001</v>
      </c>
      <c r="F24" s="75">
        <f>SUM('BS_L&amp;T'!B30:B33)</f>
        <v>34514.509999999995</v>
      </c>
      <c r="G24" s="156">
        <f>AVERAGE($D$24:F24)</f>
        <v>38038.446666666663</v>
      </c>
      <c r="H24" s="156">
        <f>G24*(1+G25)</f>
        <v>41922.177797478347</v>
      </c>
      <c r="I24" s="156">
        <f t="shared" ref="I24:K24" si="6">H24*(1+H25)</f>
        <v>46202.438461386169</v>
      </c>
      <c r="J24" s="156">
        <f t="shared" si="6"/>
        <v>50919.714383411105</v>
      </c>
      <c r="K24" s="156">
        <f t="shared" si="6"/>
        <v>56118.62488719332</v>
      </c>
    </row>
    <row r="25" spans="2:11" x14ac:dyDescent="0.25">
      <c r="B25" t="s">
        <v>21</v>
      </c>
      <c r="E25" s="23">
        <f>E24/D24-1</f>
        <v>8.651639536557032E-2</v>
      </c>
      <c r="F25" s="23">
        <f>F24/E24-1</f>
        <v>-0.16733629717409026</v>
      </c>
      <c r="G25" s="42">
        <f>G24/F24-1</f>
        <v>0.10210015053572152</v>
      </c>
      <c r="H25" s="42">
        <f t="shared" ref="H25:K25" si="7">H24/G24-1</f>
        <v>0.10210015053572152</v>
      </c>
      <c r="I25" s="42">
        <f t="shared" si="7"/>
        <v>0.10210015053572152</v>
      </c>
      <c r="J25" s="42">
        <f t="shared" si="7"/>
        <v>0.10210015053572152</v>
      </c>
      <c r="K25" s="42">
        <f t="shared" si="7"/>
        <v>0.10210015053572152</v>
      </c>
    </row>
    <row r="26" spans="2:11" ht="7.5" customHeight="1" x14ac:dyDescent="0.25">
      <c r="G26" s="27"/>
      <c r="H26" s="27"/>
      <c r="I26" s="27"/>
      <c r="J26" s="27"/>
      <c r="K26" s="27"/>
    </row>
    <row r="27" spans="2:11" x14ac:dyDescent="0.25">
      <c r="B27" t="s">
        <v>220</v>
      </c>
      <c r="D27" s="75">
        <f>'BS_L&amp;T'!D17</f>
        <v>10609.33</v>
      </c>
      <c r="E27" s="75">
        <f>'BS_L&amp;T'!C17</f>
        <v>12648.88</v>
      </c>
      <c r="F27" s="75">
        <f>'BS_L&amp;T'!B17</f>
        <v>1593.46</v>
      </c>
      <c r="G27" s="156">
        <f>G28*'P&amp;L assumptions'!G$10</f>
        <v>1736.8714</v>
      </c>
      <c r="H27" s="156">
        <f>H28*'P&amp;L assumptions'!H$10</f>
        <v>1893.189826</v>
      </c>
      <c r="I27" s="156">
        <f>I28*'P&amp;L assumptions'!I$10</f>
        <v>2063.5769103400003</v>
      </c>
      <c r="J27" s="156">
        <f>J28*'P&amp;L assumptions'!J$10</f>
        <v>2249.2988322706005</v>
      </c>
      <c r="K27" s="156">
        <f>K28*'P&amp;L assumptions'!K$10</f>
        <v>2451.7357271749543</v>
      </c>
    </row>
    <row r="28" spans="2:11" x14ac:dyDescent="0.25">
      <c r="B28" s="38" t="s">
        <v>25</v>
      </c>
      <c r="D28" s="23">
        <f>D27/'P&amp;L assumptions'!D$10</f>
        <v>8.4043716582888298E-2</v>
      </c>
      <c r="E28" s="23">
        <f>E27/'P&amp;L assumptions'!E$10</f>
        <v>8.8758458149418046E-2</v>
      </c>
      <c r="F28" s="23">
        <f>F27/'P&amp;L assumptions'!F$10</f>
        <v>1.036867671346277E-2</v>
      </c>
      <c r="G28" s="45">
        <f>$F$28</f>
        <v>1.036867671346277E-2</v>
      </c>
      <c r="H28" s="45">
        <f t="shared" ref="H28:K28" si="8">$F$28</f>
        <v>1.036867671346277E-2</v>
      </c>
      <c r="I28" s="45">
        <f t="shared" si="8"/>
        <v>1.036867671346277E-2</v>
      </c>
      <c r="J28" s="45">
        <f t="shared" si="8"/>
        <v>1.036867671346277E-2</v>
      </c>
      <c r="K28" s="45">
        <f t="shared" si="8"/>
        <v>1.036867671346277E-2</v>
      </c>
    </row>
    <row r="29" spans="2:11" ht="6.75" customHeight="1" x14ac:dyDescent="0.25">
      <c r="E29" s="173"/>
      <c r="G29" s="27"/>
      <c r="H29" s="27"/>
      <c r="I29" s="27"/>
      <c r="J29" s="27"/>
      <c r="K29" s="27"/>
    </row>
    <row r="30" spans="2:11" x14ac:dyDescent="0.25">
      <c r="B30" t="s">
        <v>221</v>
      </c>
      <c r="D30" s="75">
        <f>'BS_L&amp;T'!D19</f>
        <v>44919.82</v>
      </c>
      <c r="E30" s="75">
        <f>'BS_L&amp;T'!C19</f>
        <v>50265.96</v>
      </c>
      <c r="F30" s="75">
        <f>'BS_L&amp;T'!B19</f>
        <v>68948.95</v>
      </c>
      <c r="G30" s="156">
        <f>G31*'P&amp;L assumptions'!G$10</f>
        <v>64615.503251483075</v>
      </c>
      <c r="H30" s="156">
        <f>H31*'P&amp;L assumptions'!H$10</f>
        <v>70430.898544116557</v>
      </c>
      <c r="I30" s="156">
        <f>I31*'P&amp;L assumptions'!I$10</f>
        <v>76769.67941308704</v>
      </c>
      <c r="J30" s="156">
        <f>J31*'P&amp;L assumptions'!J$10</f>
        <v>83678.950560264886</v>
      </c>
      <c r="K30" s="156">
        <f>K31*'P&amp;L assumptions'!K$10</f>
        <v>91210.056110688718</v>
      </c>
    </row>
    <row r="31" spans="2:11" x14ac:dyDescent="0.25">
      <c r="B31" s="38" t="s">
        <v>25</v>
      </c>
      <c r="D31" s="23">
        <f>D30/'P&amp;L assumptions'!D$10</f>
        <v>0.35584043676974486</v>
      </c>
      <c r="E31" s="23">
        <f>E30/'P&amp;L assumptions'!E$10</f>
        <v>0.35272127706170997</v>
      </c>
      <c r="F31" s="23">
        <f>F30/'P&amp;L assumptions'!F$10</f>
        <v>0.44865222364082491</v>
      </c>
      <c r="G31" s="45">
        <f>AVERAGE($D$31:F31)</f>
        <v>0.38573797915742664</v>
      </c>
      <c r="H31" s="45">
        <f>AVERAGE($D$31:G31)</f>
        <v>0.38573797915742664</v>
      </c>
      <c r="I31" s="45">
        <f>AVERAGE($D$31:H31)</f>
        <v>0.38573797915742664</v>
      </c>
      <c r="J31" s="45">
        <f>AVERAGE($D$31:I31)</f>
        <v>0.38573797915742664</v>
      </c>
      <c r="K31" s="45">
        <f>AVERAGE($D$31:J31)</f>
        <v>0.38573797915742658</v>
      </c>
    </row>
    <row r="32" spans="2:11" ht="9" customHeight="1" x14ac:dyDescent="0.25">
      <c r="G32" s="27"/>
      <c r="H32" s="27"/>
      <c r="I32" s="27"/>
      <c r="J32" s="27"/>
      <c r="K32" s="27"/>
    </row>
    <row r="33" spans="2:11" x14ac:dyDescent="0.25">
      <c r="B33" t="s">
        <v>222</v>
      </c>
      <c r="D33" s="75">
        <f>'BS_L&amp;T'!D20</f>
        <v>1651.57</v>
      </c>
      <c r="E33" s="75">
        <f>'BS_L&amp;T'!C20</f>
        <v>2398.23</v>
      </c>
      <c r="F33" s="75">
        <f>'BS_L&amp;T'!B20</f>
        <v>2702.49</v>
      </c>
      <c r="G33" s="156">
        <f>G34*'P&amp;L assumptions'!G$10</f>
        <v>2652.0953430935674</v>
      </c>
      <c r="H33" s="156">
        <f>H34*'P&amp;L assumptions'!H$10</f>
        <v>2890.7839239719883</v>
      </c>
      <c r="I33" s="156">
        <f>I34*'P&amp;L assumptions'!I$10</f>
        <v>3150.9544771294677</v>
      </c>
      <c r="J33" s="156">
        <f>J34*'P&amp;L assumptions'!J$10</f>
        <v>3434.5403800711201</v>
      </c>
      <c r="K33" s="156">
        <f>K34*'P&amp;L assumptions'!K$10</f>
        <v>3743.649014277521</v>
      </c>
    </row>
    <row r="34" spans="2:11" x14ac:dyDescent="0.25">
      <c r="B34" s="38" t="s">
        <v>25</v>
      </c>
      <c r="D34" s="23">
        <f>D33/'P&amp;L assumptions'!D$10</f>
        <v>1.3083208929951356E-2</v>
      </c>
      <c r="E34" s="23">
        <f>E33/'P&amp;L assumptions'!E$10</f>
        <v>1.6828620169349291E-2</v>
      </c>
      <c r="F34" s="23">
        <f>F33/'P&amp;L assumptions'!F$10</f>
        <v>1.7585157538542544E-2</v>
      </c>
      <c r="G34" s="45">
        <f>AVERAGE($D$34:F34)</f>
        <v>1.5832328879281061E-2</v>
      </c>
      <c r="H34" s="45">
        <f>AVERAGE($D$34:G34)</f>
        <v>1.5832328879281061E-2</v>
      </c>
      <c r="I34" s="45">
        <f>AVERAGE($D$34:H34)</f>
        <v>1.5832328879281061E-2</v>
      </c>
      <c r="J34" s="45">
        <f>AVERAGE($D$34:I34)</f>
        <v>1.5832328879281061E-2</v>
      </c>
      <c r="K34" s="45">
        <f>AVERAGE($D$34:J34)</f>
        <v>1.5832328879281061E-2</v>
      </c>
    </row>
    <row r="35" spans="2:11" x14ac:dyDescent="0.25">
      <c r="G35" s="27"/>
      <c r="H35" s="27"/>
      <c r="I35" s="27"/>
      <c r="J35" s="27"/>
      <c r="K35" s="27"/>
    </row>
    <row r="36" spans="2:11" x14ac:dyDescent="0.25">
      <c r="B36" t="s">
        <v>217</v>
      </c>
      <c r="D36" s="75">
        <f>'BS_L&amp;T'!D13</f>
        <v>210.73</v>
      </c>
      <c r="E36" s="75">
        <f>'BS_L&amp;T'!C13</f>
        <v>359.73</v>
      </c>
      <c r="F36" s="75">
        <f>'BS_L&amp;T'!B13</f>
        <v>662.94</v>
      </c>
      <c r="G36" s="156">
        <f>G37*'P&amp;L assumptions'!G$10</f>
        <v>475.02661769919911</v>
      </c>
      <c r="H36" s="156">
        <f>H37*'P&amp;L assumptions'!H$10</f>
        <v>517.77901329212705</v>
      </c>
      <c r="I36" s="156">
        <f>I37*'P&amp;L assumptions'!I$10</f>
        <v>564.37912448841848</v>
      </c>
      <c r="J36" s="156">
        <f>J37*'P&amp;L assumptions'!J$10</f>
        <v>615.17324569237621</v>
      </c>
      <c r="K36" s="156">
        <f>K37*'P&amp;L assumptions'!K$10</f>
        <v>670.53883780469016</v>
      </c>
    </row>
    <row r="37" spans="2:11" x14ac:dyDescent="0.25">
      <c r="B37" s="38" t="s">
        <v>25</v>
      </c>
      <c r="D37" s="23">
        <f>D36/'P&amp;L assumptions'!D$10</f>
        <v>1.6693356126647064E-3</v>
      </c>
      <c r="E37" s="23">
        <f>E36/'P&amp;L assumptions'!E$10</f>
        <v>2.5242614484515752E-3</v>
      </c>
      <c r="F37" s="23">
        <f>F36/'P&amp;L assumptions'!F$10</f>
        <v>4.3137640985170698E-3</v>
      </c>
      <c r="G37" s="45">
        <f>AVERAGE($D$37:F37)</f>
        <v>2.8357870532111171E-3</v>
      </c>
      <c r="H37" s="45">
        <f>AVERAGE($D$37:G37)</f>
        <v>2.8357870532111171E-3</v>
      </c>
      <c r="I37" s="45">
        <f>AVERAGE($D$37:H37)</f>
        <v>2.8357870532111171E-3</v>
      </c>
      <c r="J37" s="45">
        <f>AVERAGE($D$37:I37)</f>
        <v>2.8357870532111171E-3</v>
      </c>
      <c r="K37" s="45">
        <f>AVERAGE($D$37:J37)</f>
        <v>2.8357870532111176E-3</v>
      </c>
    </row>
    <row r="38" spans="2:11" ht="8.25" customHeight="1" x14ac:dyDescent="0.25">
      <c r="G38" s="27"/>
      <c r="H38" s="27"/>
      <c r="I38" s="27"/>
      <c r="J38" s="27"/>
      <c r="K38" s="27"/>
    </row>
    <row r="39" spans="2:11" x14ac:dyDescent="0.25">
      <c r="B39" t="s">
        <v>218</v>
      </c>
      <c r="D39" s="75">
        <f>'BS_L&amp;T'!D14</f>
        <v>697.73</v>
      </c>
      <c r="E39" s="75">
        <f>'BS_L&amp;T'!C14</f>
        <v>765.72</v>
      </c>
      <c r="F39" s="75">
        <f>'BS_L&amp;T'!B14</f>
        <v>769.32</v>
      </c>
      <c r="G39" s="156">
        <f>G40*'P&amp;L assumptions'!G$10</f>
        <v>888.16259731715013</v>
      </c>
      <c r="H39" s="156">
        <f>H40*'P&amp;L assumptions'!H$10</f>
        <v>968.09723107569368</v>
      </c>
      <c r="I39" s="156">
        <f>I40*'P&amp;L assumptions'!I$10</f>
        <v>1055.2259818725061</v>
      </c>
      <c r="J39" s="156">
        <f>J40*'P&amp;L assumptions'!J$10</f>
        <v>1150.1963202410318</v>
      </c>
      <c r="K39" s="156">
        <f>K40*'P&amp;L assumptions'!K$10</f>
        <v>1253.713989062725</v>
      </c>
    </row>
    <row r="40" spans="2:11" x14ac:dyDescent="0.25">
      <c r="B40" s="38" t="s">
        <v>25</v>
      </c>
      <c r="D40" s="23">
        <f>D39/'P&amp;L assumptions'!D$10</f>
        <v>5.5271937409222495E-3</v>
      </c>
      <c r="E40" s="23">
        <f>E39/'P&amp;L assumptions'!E$10</f>
        <v>5.3731339513199902E-3</v>
      </c>
      <c r="F40" s="23">
        <f>F39/'P&amp;L assumptions'!F$10</f>
        <v>5.0059809277930916E-3</v>
      </c>
      <c r="G40" s="45">
        <f>AVERAGE($D$40:F40)</f>
        <v>5.302102873345111E-3</v>
      </c>
      <c r="H40" s="45">
        <f>AVERAGE($D$40:G40)</f>
        <v>5.302102873345111E-3</v>
      </c>
      <c r="I40" s="45">
        <f>AVERAGE($D$40:H40)</f>
        <v>5.302102873345111E-3</v>
      </c>
      <c r="J40" s="45">
        <f>AVERAGE($D$40:I40)</f>
        <v>5.302102873345111E-3</v>
      </c>
      <c r="K40" s="45">
        <f>AVERAGE($D$40:J40)</f>
        <v>5.3021028733451119E-3</v>
      </c>
    </row>
  </sheetData>
  <sheetProtection algorithmName="SHA-512" hashValue="qTcocBeBjJ7o4Pdml9radnRuFJA19Jr/IyvcB0fwcaQ7Kv5CO6AhM8iJTnpG/TuE9N9SwE2J21Zs7MioT5a90A==" saltValue="cWKfXNi9g6mbReBetmrs+Q==" spinCount="100000" sheet="1" objects="1" scenarios="1"/>
  <mergeCells count="2">
    <mergeCell ref="D3:F3"/>
    <mergeCell ref="G3:K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2596-13DD-45F8-9C31-02246D3CC81D}">
  <sheetPr codeName="Sheet23"/>
  <dimension ref="B1:I17"/>
  <sheetViews>
    <sheetView showGridLines="0" workbookViewId="0"/>
  </sheetViews>
  <sheetFormatPr defaultRowHeight="15" x14ac:dyDescent="0.25"/>
  <cols>
    <col min="1" max="1" width="2.7109375" customWidth="1"/>
    <col min="2" max="2" width="35.28515625" bestFit="1" customWidth="1"/>
    <col min="4" max="6" width="10.140625" bestFit="1" customWidth="1"/>
    <col min="7" max="11" width="11.5703125" bestFit="1" customWidth="1"/>
  </cols>
  <sheetData>
    <row r="1" spans="2:9" ht="15.75" x14ac:dyDescent="0.25">
      <c r="B1" s="7" t="s">
        <v>295</v>
      </c>
    </row>
    <row r="2" spans="2:9" ht="15.75" x14ac:dyDescent="0.25">
      <c r="B2" s="7"/>
    </row>
    <row r="3" spans="2:9" x14ac:dyDescent="0.25">
      <c r="B3" t="s">
        <v>297</v>
      </c>
      <c r="D3" s="197">
        <v>7.0999999999999994E-2</v>
      </c>
    </row>
    <row r="4" spans="2:9" x14ac:dyDescent="0.25">
      <c r="B4" t="s">
        <v>296</v>
      </c>
      <c r="D4" s="198">
        <v>1.43</v>
      </c>
    </row>
    <row r="5" spans="2:9" x14ac:dyDescent="0.25">
      <c r="B5" t="s">
        <v>298</v>
      </c>
      <c r="D5" s="199">
        <v>4.1799999999999997E-2</v>
      </c>
    </row>
    <row r="6" spans="2:9" ht="6.75" customHeight="1" x14ac:dyDescent="0.25">
      <c r="D6" s="199"/>
    </row>
    <row r="7" spans="2:9" x14ac:dyDescent="0.25">
      <c r="B7" t="s">
        <v>299</v>
      </c>
      <c r="D7" s="197">
        <f>D3+(D4*D5)</f>
        <v>0.130774</v>
      </c>
    </row>
    <row r="8" spans="2:9" ht="7.5" customHeight="1" x14ac:dyDescent="0.25">
      <c r="D8" s="198"/>
    </row>
    <row r="9" spans="2:9" x14ac:dyDescent="0.25">
      <c r="B9" t="s">
        <v>300</v>
      </c>
      <c r="D9" s="199">
        <v>7.6499999999999999E-2</v>
      </c>
      <c r="I9" s="52"/>
    </row>
    <row r="10" spans="2:9" ht="7.5" customHeight="1" x14ac:dyDescent="0.25">
      <c r="D10" s="199"/>
      <c r="I10" s="52"/>
    </row>
    <row r="11" spans="2:9" x14ac:dyDescent="0.25">
      <c r="B11" t="s">
        <v>301</v>
      </c>
      <c r="D11" s="199">
        <f>D9*(1-'P&amp;L assumptions'!G47)</f>
        <v>6.5024999999999999E-2</v>
      </c>
      <c r="I11" s="52"/>
    </row>
    <row r="12" spans="2:9" ht="9" customHeight="1" x14ac:dyDescent="0.25">
      <c r="D12" s="198"/>
    </row>
    <row r="13" spans="2:9" x14ac:dyDescent="0.25">
      <c r="B13" t="s">
        <v>302</v>
      </c>
      <c r="D13" s="200">
        <f>('Balance Sheet'!F25+'Balance Sheet'!F27)</f>
        <v>10450.61</v>
      </c>
    </row>
    <row r="14" spans="2:9" x14ac:dyDescent="0.25">
      <c r="B14" t="s">
        <v>303</v>
      </c>
      <c r="D14" s="200">
        <f>'Balance Sheet'!F32</f>
        <v>74532.900000000009</v>
      </c>
    </row>
    <row r="15" spans="2:9" x14ac:dyDescent="0.25">
      <c r="B15" s="1" t="s">
        <v>304</v>
      </c>
      <c r="C15" s="1"/>
      <c r="D15" s="204">
        <f>SUM(D13:D14)</f>
        <v>84983.510000000009</v>
      </c>
    </row>
    <row r="17" spans="2:4" x14ac:dyDescent="0.25">
      <c r="B17" s="195" t="s">
        <v>79</v>
      </c>
      <c r="D17" s="196">
        <f>(D13/D15)*D11+(D14/D15)*D7</f>
        <v>0.12268870019430829</v>
      </c>
    </row>
  </sheetData>
  <sheetProtection algorithmName="SHA-512" hashValue="K/VrZksHhYQx9v7+iwwX9LOZn+UrEj25BeYWJrAx5gntVOpsF6PSJK0hjcbExxdYNjdFIHce49/YJGzJQ4nN2Q==" saltValue="HF2AxG46o6uxA2x3ImXffQ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F9901-09FE-4553-A1BD-A0483F25A993}">
  <sheetPr codeName="Sheet4">
    <tabColor rgb="FF002060"/>
  </sheetPr>
  <dimension ref="B1:B11"/>
  <sheetViews>
    <sheetView workbookViewId="0"/>
  </sheetViews>
  <sheetFormatPr defaultRowHeight="12" x14ac:dyDescent="0.2"/>
  <cols>
    <col min="1" max="1" width="2" style="31" customWidth="1"/>
    <col min="2" max="16384" width="9.140625" style="31"/>
  </cols>
  <sheetData>
    <row r="1" spans="2:2" ht="15.75" x14ac:dyDescent="0.25">
      <c r="B1" s="30"/>
    </row>
    <row r="11" spans="2:2" ht="41.25" x14ac:dyDescent="0.6">
      <c r="B11" s="32" t="s">
        <v>34</v>
      </c>
    </row>
  </sheetData>
  <sheetProtection algorithmName="SHA-512" hashValue="ku+N8XMWZn63DfqFToazWWFHvLQBx8EwmjTASP9PSZ6Sqc01OaOWkZ6g8JN5F5Q7doSBpPjbyS9uBPIL8H9CmA==" saltValue="GAe1+0jGuv1IA6xFdow2Uw==" spinCount="100000" sheet="1" objects="1" scenario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88194-F740-4E28-ACAE-FD683DF1CE8D}">
  <sheetPr codeName="Sheet5">
    <tabColor rgb="FF0070C0"/>
  </sheetPr>
  <dimension ref="B1:K16"/>
  <sheetViews>
    <sheetView showGridLines="0" workbookViewId="0"/>
  </sheetViews>
  <sheetFormatPr defaultRowHeight="15" x14ac:dyDescent="0.25"/>
  <cols>
    <col min="1" max="1" width="2.42578125" customWidth="1"/>
    <col min="2" max="2" width="24" bestFit="1" customWidth="1"/>
    <col min="7" max="7" width="10" bestFit="1" customWidth="1"/>
    <col min="8" max="11" width="11.5703125" bestFit="1" customWidth="1"/>
  </cols>
  <sheetData>
    <row r="1" spans="2:11" ht="15.75" x14ac:dyDescent="0.25">
      <c r="B1" s="7" t="s">
        <v>275</v>
      </c>
    </row>
    <row r="3" spans="2:11" ht="33" customHeight="1" thickBot="1" x14ac:dyDescent="0.3">
      <c r="B3" s="82" t="s">
        <v>276</v>
      </c>
      <c r="C3" s="83"/>
      <c r="D3" s="85" t="s">
        <v>266</v>
      </c>
      <c r="E3" s="85" t="s">
        <v>267</v>
      </c>
      <c r="F3" s="85" t="s">
        <v>268</v>
      </c>
      <c r="G3" s="84" t="s">
        <v>269</v>
      </c>
      <c r="H3" s="84" t="s">
        <v>270</v>
      </c>
      <c r="I3" s="84" t="s">
        <v>271</v>
      </c>
      <c r="J3" s="84" t="s">
        <v>272</v>
      </c>
      <c r="K3" s="84" t="s">
        <v>273</v>
      </c>
    </row>
    <row r="4" spans="2:11" x14ac:dyDescent="0.25">
      <c r="B4" t="s">
        <v>3</v>
      </c>
      <c r="D4" s="3">
        <f>'P&amp;L source'!D5</f>
        <v>126235.85</v>
      </c>
      <c r="E4" s="3">
        <f>'P&amp;L source'!E5</f>
        <v>142509.01</v>
      </c>
      <c r="F4" s="3">
        <f>'P&amp;L source'!F5</f>
        <v>153680.17000000001</v>
      </c>
      <c r="G4" s="99">
        <f>'P&amp;L assumptions'!G10</f>
        <v>167511.38530000002</v>
      </c>
      <c r="H4" s="99">
        <f>'P&amp;L assumptions'!H10</f>
        <v>182587.40997700003</v>
      </c>
      <c r="I4" s="99">
        <f>'P&amp;L assumptions'!I10</f>
        <v>199020.27687493004</v>
      </c>
      <c r="J4" s="99">
        <f>'P&amp;L assumptions'!J10</f>
        <v>216932.10179367376</v>
      </c>
      <c r="K4" s="99">
        <f>'P&amp;L assumptions'!K10</f>
        <v>236455.99095510441</v>
      </c>
    </row>
    <row r="5" spans="2:11" x14ac:dyDescent="0.25">
      <c r="B5" t="s">
        <v>168</v>
      </c>
      <c r="D5" s="3">
        <f>'P&amp;L source'!D6</f>
        <v>5340.6</v>
      </c>
      <c r="E5" s="3">
        <f>'P&amp;L source'!E6</f>
        <v>5669.21</v>
      </c>
      <c r="F5" s="3">
        <f>'P&amp;L source'!F6</f>
        <v>7358.45</v>
      </c>
      <c r="G5" s="99">
        <f>'P&amp;L assumptions'!G16</f>
        <v>7947.1260000000002</v>
      </c>
      <c r="H5" s="99">
        <f>'P&amp;L assumptions'!H16</f>
        <v>8582.8960800000004</v>
      </c>
      <c r="I5" s="99">
        <f>'P&amp;L assumptions'!I16</f>
        <v>9269.5277664000005</v>
      </c>
      <c r="J5" s="99">
        <f>'P&amp;L assumptions'!J16</f>
        <v>10011.089987712001</v>
      </c>
      <c r="K5" s="99">
        <f>'P&amp;L assumptions'!K16</f>
        <v>10811.977186728962</v>
      </c>
    </row>
    <row r="6" spans="2:11" x14ac:dyDescent="0.25">
      <c r="B6" s="1" t="s">
        <v>13</v>
      </c>
      <c r="C6" s="9"/>
      <c r="D6" s="10">
        <f>SUM(D4:D5)</f>
        <v>131576.45000000001</v>
      </c>
      <c r="E6" s="10">
        <f t="shared" ref="E6:F6" si="0">SUM(E4:E5)</f>
        <v>148178.22</v>
      </c>
      <c r="F6" s="10">
        <f t="shared" si="0"/>
        <v>161038.62000000002</v>
      </c>
      <c r="G6" s="100">
        <f t="shared" ref="G6" si="1">SUM(G4:G5)</f>
        <v>175458.51130000001</v>
      </c>
      <c r="H6" s="100">
        <f t="shared" ref="H6" si="2">SUM(H4:H5)</f>
        <v>191170.30605700004</v>
      </c>
      <c r="I6" s="100">
        <f t="shared" ref="I6" si="3">SUM(I4:I5)</f>
        <v>208289.80464133003</v>
      </c>
      <c r="J6" s="100">
        <f t="shared" ref="J6" si="4">SUM(J4:J5)</f>
        <v>226943.19178138577</v>
      </c>
      <c r="K6" s="100">
        <f t="shared" ref="K6" si="5">SUM(K4:K5)</f>
        <v>247267.96814183338</v>
      </c>
    </row>
    <row r="7" spans="2:11" x14ac:dyDescent="0.25">
      <c r="B7" t="s">
        <v>4</v>
      </c>
      <c r="D7" s="16">
        <f>'P&amp;L source'!D8</f>
        <v>103821.21</v>
      </c>
      <c r="E7" s="16">
        <f>'P&amp;L source'!E8</f>
        <v>115566.09</v>
      </c>
      <c r="F7" s="16">
        <f>'P&amp;L source'!F8</f>
        <v>125508.84</v>
      </c>
      <c r="G7" s="101">
        <f>'P&amp;L assumptions'!G22</f>
        <v>134009.10824000003</v>
      </c>
      <c r="H7" s="101">
        <f>'P&amp;L assumptions'!H22</f>
        <v>146069.92798160002</v>
      </c>
      <c r="I7" s="101">
        <f>'P&amp;L assumptions'!I22</f>
        <v>159216.22149994405</v>
      </c>
      <c r="J7" s="101">
        <f>'P&amp;L assumptions'!J22</f>
        <v>173545.68143493903</v>
      </c>
      <c r="K7" s="101">
        <f>'P&amp;L assumptions'!K22</f>
        <v>189164.79276408354</v>
      </c>
    </row>
    <row r="8" spans="2:11" x14ac:dyDescent="0.25">
      <c r="B8" s="1" t="s">
        <v>6</v>
      </c>
      <c r="C8" s="9"/>
      <c r="D8" s="11">
        <f>D6-D7</f>
        <v>27755.240000000005</v>
      </c>
      <c r="E8" s="11">
        <f t="shared" ref="E8:K8" si="6">E6-E7</f>
        <v>32612.130000000005</v>
      </c>
      <c r="F8" s="11">
        <f t="shared" si="6"/>
        <v>35529.780000000028</v>
      </c>
      <c r="G8" s="102">
        <f t="shared" si="6"/>
        <v>41449.403059999982</v>
      </c>
      <c r="H8" s="102">
        <f t="shared" si="6"/>
        <v>45100.378075400018</v>
      </c>
      <c r="I8" s="102">
        <f t="shared" si="6"/>
        <v>49073.583141385985</v>
      </c>
      <c r="J8" s="102">
        <f t="shared" si="6"/>
        <v>53397.510346446739</v>
      </c>
      <c r="K8" s="102">
        <f t="shared" si="6"/>
        <v>58103.175377749838</v>
      </c>
    </row>
    <row r="9" spans="2:11" x14ac:dyDescent="0.25">
      <c r="B9" t="s">
        <v>0</v>
      </c>
      <c r="D9" s="16">
        <f>'P&amp;L source'!D13</f>
        <v>12282.09</v>
      </c>
      <c r="E9" s="16">
        <f>'P&amp;L source'!E13</f>
        <v>14879.89</v>
      </c>
      <c r="F9" s="16">
        <f>'P&amp;L source'!F13</f>
        <v>22727.739999999998</v>
      </c>
      <c r="G9" s="101">
        <f>'P&amp;L assumptions'!G28</f>
        <v>17588.695456500001</v>
      </c>
      <c r="H9" s="101">
        <f>'P&amp;L assumptions'!H28</f>
        <v>19171.678047585003</v>
      </c>
      <c r="I9" s="101">
        <f>'P&amp;L assumptions'!I28</f>
        <v>20897.129071867654</v>
      </c>
      <c r="J9" s="101">
        <f>'P&amp;L assumptions'!J28</f>
        <v>22777.870688335744</v>
      </c>
      <c r="K9" s="101">
        <f>'P&amp;L assumptions'!K28</f>
        <v>24827.879050285963</v>
      </c>
    </row>
    <row r="10" spans="2:11" x14ac:dyDescent="0.25">
      <c r="B10" s="1" t="s">
        <v>7</v>
      </c>
      <c r="C10" s="9"/>
      <c r="D10" s="11">
        <f>D8-D9</f>
        <v>15473.150000000005</v>
      </c>
      <c r="E10" s="11">
        <f t="shared" ref="E10:K10" si="7">E8-E9</f>
        <v>17732.240000000005</v>
      </c>
      <c r="F10" s="11">
        <f t="shared" si="7"/>
        <v>12802.04000000003</v>
      </c>
      <c r="G10" s="102">
        <f t="shared" si="7"/>
        <v>23860.707603499981</v>
      </c>
      <c r="H10" s="102">
        <f t="shared" si="7"/>
        <v>25928.700027815015</v>
      </c>
      <c r="I10" s="102">
        <f t="shared" si="7"/>
        <v>28176.454069518331</v>
      </c>
      <c r="J10" s="102">
        <f t="shared" si="7"/>
        <v>30619.639658110995</v>
      </c>
      <c r="K10" s="102">
        <f t="shared" si="7"/>
        <v>33275.296327463875</v>
      </c>
    </row>
    <row r="11" spans="2:11" x14ac:dyDescent="0.25">
      <c r="B11" t="s">
        <v>1</v>
      </c>
      <c r="D11" s="16">
        <f>'P&amp;L source'!D19</f>
        <v>1751.01</v>
      </c>
      <c r="E11" s="16">
        <f>'P&amp;L source'!E19</f>
        <v>1963.02</v>
      </c>
      <c r="F11" s="16">
        <f>'P&amp;L source'!F19</f>
        <v>1985.4</v>
      </c>
      <c r="G11" s="101">
        <f>'P&amp;L assumptions'!G34</f>
        <v>1675.1138530000003</v>
      </c>
      <c r="H11" s="101">
        <f>'P&amp;L assumptions'!H34</f>
        <v>1825.8740997700004</v>
      </c>
      <c r="I11" s="101">
        <f>'P&amp;L assumptions'!I34</f>
        <v>1990.2027687493005</v>
      </c>
      <c r="J11" s="101">
        <f>'P&amp;L assumptions'!J34</f>
        <v>2169.3210179367375</v>
      </c>
      <c r="K11" s="101">
        <f>'P&amp;L assumptions'!K34</f>
        <v>2364.5599095510443</v>
      </c>
    </row>
    <row r="12" spans="2:11" x14ac:dyDescent="0.25">
      <c r="B12" s="1" t="s">
        <v>10</v>
      </c>
      <c r="C12" s="9"/>
      <c r="D12" s="11">
        <f>D10-D11</f>
        <v>13722.140000000005</v>
      </c>
      <c r="E12" s="11">
        <f t="shared" ref="E12:K12" si="8">E10-E11</f>
        <v>15769.220000000005</v>
      </c>
      <c r="F12" s="11">
        <f t="shared" si="8"/>
        <v>10816.64000000003</v>
      </c>
      <c r="G12" s="102">
        <f t="shared" si="8"/>
        <v>22185.593750499982</v>
      </c>
      <c r="H12" s="102">
        <f t="shared" si="8"/>
        <v>24102.825928045015</v>
      </c>
      <c r="I12" s="102">
        <f t="shared" si="8"/>
        <v>26186.251300769032</v>
      </c>
      <c r="J12" s="102">
        <f t="shared" si="8"/>
        <v>28450.318640174257</v>
      </c>
      <c r="K12" s="102">
        <f t="shared" si="8"/>
        <v>30910.736417912831</v>
      </c>
    </row>
    <row r="13" spans="2:11" x14ac:dyDescent="0.25">
      <c r="B13" t="s">
        <v>274</v>
      </c>
      <c r="D13" s="16">
        <f>'P&amp;L source'!D21</f>
        <v>2405.83</v>
      </c>
      <c r="E13" s="16">
        <f>'P&amp;L source'!E21</f>
        <v>2195.46</v>
      </c>
      <c r="F13" s="16">
        <f>'P&amp;L source'!F21</f>
        <v>1675.42</v>
      </c>
      <c r="G13" s="101">
        <f>'P&amp;L assumptions'!G40</f>
        <v>1539.5801342630268</v>
      </c>
      <c r="H13" s="101">
        <f>'P&amp;L assumptions'!H40</f>
        <v>1414.7539063741388</v>
      </c>
      <c r="I13" s="101">
        <f>'P&amp;L assumptions'!I40</f>
        <v>1300.0483515325338</v>
      </c>
      <c r="J13" s="101">
        <f>'P&amp;L assumptions'!J40</f>
        <v>1194.6429048243933</v>
      </c>
      <c r="K13" s="101">
        <f>'P&amp;L assumptions'!K40</f>
        <v>1097.7835311778013</v>
      </c>
    </row>
    <row r="14" spans="2:11" x14ac:dyDescent="0.25">
      <c r="B14" s="1" t="s">
        <v>8</v>
      </c>
      <c r="C14" s="9"/>
      <c r="D14" s="11">
        <f>D12-D13</f>
        <v>11316.310000000005</v>
      </c>
      <c r="E14" s="11">
        <f t="shared" ref="E14:K14" si="9">E12-E13</f>
        <v>13573.760000000006</v>
      </c>
      <c r="F14" s="11">
        <f t="shared" si="9"/>
        <v>9141.2200000000303</v>
      </c>
      <c r="G14" s="102">
        <f t="shared" si="9"/>
        <v>20646.013616236956</v>
      </c>
      <c r="H14" s="102">
        <f t="shared" si="9"/>
        <v>22688.072021670876</v>
      </c>
      <c r="I14" s="102">
        <f t="shared" si="9"/>
        <v>24886.2029492365</v>
      </c>
      <c r="J14" s="102">
        <f t="shared" si="9"/>
        <v>27255.675735349865</v>
      </c>
      <c r="K14" s="102">
        <f t="shared" si="9"/>
        <v>29812.952886735031</v>
      </c>
    </row>
    <row r="15" spans="2:11" x14ac:dyDescent="0.25">
      <c r="B15" t="s">
        <v>2</v>
      </c>
      <c r="D15" s="16">
        <f>'P&amp;L source'!D23</f>
        <v>2011.98</v>
      </c>
      <c r="E15" s="16">
        <f>'P&amp;L source'!E23</f>
        <v>2703.04</v>
      </c>
      <c r="F15" s="16">
        <f>'P&amp;L source'!F23</f>
        <v>2854.09</v>
      </c>
      <c r="G15" s="101">
        <f>'P&amp;L assumptions'!G46</f>
        <v>3096.9020424355435</v>
      </c>
      <c r="H15" s="101">
        <f>'P&amp;L assumptions'!H46</f>
        <v>3403.2108032506312</v>
      </c>
      <c r="I15" s="101">
        <f>'P&amp;L assumptions'!I46</f>
        <v>3732.9304423854746</v>
      </c>
      <c r="J15" s="101">
        <f>'P&amp;L assumptions'!J46</f>
        <v>4088.3513603024794</v>
      </c>
      <c r="K15" s="101">
        <f>'P&amp;L assumptions'!K46</f>
        <v>4471.9429330102548</v>
      </c>
    </row>
    <row r="16" spans="2:11" ht="15.75" thickBot="1" x14ac:dyDescent="0.3">
      <c r="B16" s="13" t="s">
        <v>97</v>
      </c>
      <c r="C16" s="14"/>
      <c r="D16" s="15">
        <f>D14-D15</f>
        <v>9304.3300000000054</v>
      </c>
      <c r="E16" s="15">
        <f t="shared" ref="E16:K16" si="10">E14-E15</f>
        <v>10870.720000000005</v>
      </c>
      <c r="F16" s="15">
        <f t="shared" si="10"/>
        <v>6287.1300000000301</v>
      </c>
      <c r="G16" s="157">
        <f t="shared" si="10"/>
        <v>17549.111573801412</v>
      </c>
      <c r="H16" s="157">
        <f t="shared" si="10"/>
        <v>19284.861218420243</v>
      </c>
      <c r="I16" s="157">
        <f t="shared" si="10"/>
        <v>21153.272506851026</v>
      </c>
      <c r="J16" s="157">
        <f t="shared" si="10"/>
        <v>23167.324375047385</v>
      </c>
      <c r="K16" s="157">
        <f t="shared" si="10"/>
        <v>25341.009953724777</v>
      </c>
    </row>
  </sheetData>
  <sheetProtection algorithmName="SHA-512" hashValue="w3x4pVFknTkVb+bgmUPNPmpVhE3A+A0YwQrwvFm8GnK7QGyYGDlQ4lfHpHVldGK6eLTGqGkDBnR/w2IWoifd/A==" saltValue="DoX3R6+dTD66Z/FGi7cpEw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104BF-3676-45D1-BD60-C262CCE91059}">
  <sheetPr codeName="Sheet6">
    <tabColor rgb="FF0070C0"/>
  </sheetPr>
  <dimension ref="B1:N38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2.42578125" customWidth="1"/>
    <col min="2" max="2" width="26.5703125" bestFit="1" customWidth="1"/>
    <col min="4" max="6" width="11.7109375" bestFit="1" customWidth="1"/>
    <col min="7" max="11" width="11.5703125" bestFit="1" customWidth="1"/>
  </cols>
  <sheetData>
    <row r="1" spans="2:14" ht="15.75" x14ac:dyDescent="0.25">
      <c r="B1" s="7" t="s">
        <v>277</v>
      </c>
    </row>
    <row r="2" spans="2:14" ht="15.75" x14ac:dyDescent="0.25">
      <c r="B2" s="7"/>
    </row>
    <row r="3" spans="2:14" x14ac:dyDescent="0.25">
      <c r="D3" s="212" t="s">
        <v>11</v>
      </c>
      <c r="E3" s="212"/>
      <c r="F3" s="212"/>
      <c r="G3" s="213" t="s">
        <v>12</v>
      </c>
      <c r="H3" s="213"/>
      <c r="I3" s="213"/>
      <c r="J3" s="213"/>
      <c r="K3" s="213"/>
    </row>
    <row r="4" spans="2:14" ht="15.75" thickBot="1" x14ac:dyDescent="0.3">
      <c r="B4" s="33" t="s">
        <v>276</v>
      </c>
      <c r="C4" s="34"/>
      <c r="D4" s="35">
        <v>45382</v>
      </c>
      <c r="E4" s="36">
        <v>45747</v>
      </c>
      <c r="F4" s="36">
        <v>46112</v>
      </c>
      <c r="G4" s="37">
        <v>46477</v>
      </c>
      <c r="H4" s="37">
        <v>46843</v>
      </c>
      <c r="I4" s="37">
        <v>47208</v>
      </c>
      <c r="J4" s="37">
        <v>47573</v>
      </c>
      <c r="K4" s="37">
        <v>47938</v>
      </c>
    </row>
    <row r="5" spans="2:14" x14ac:dyDescent="0.25">
      <c r="B5" s="105" t="s">
        <v>117</v>
      </c>
      <c r="C5" s="74"/>
      <c r="D5" s="103"/>
      <c r="E5" s="104"/>
      <c r="F5" s="104"/>
      <c r="G5" s="106"/>
      <c r="H5" s="106"/>
      <c r="I5" s="106"/>
      <c r="J5" s="106"/>
      <c r="K5" s="106"/>
    </row>
    <row r="6" spans="2:14" x14ac:dyDescent="0.25">
      <c r="B6" t="s">
        <v>236</v>
      </c>
      <c r="D6" s="75">
        <f>'BS_L&amp;T'!D36</f>
        <v>16813.34</v>
      </c>
      <c r="E6" s="75">
        <f>'BS_L&amp;T'!C36</f>
        <v>24788.29</v>
      </c>
      <c r="F6" s="75">
        <f>'BS_L&amp;T'!B36</f>
        <v>29612.560000000001</v>
      </c>
      <c r="G6" s="94">
        <f>'BS assumptions'!G15</f>
        <v>32277.690400000003</v>
      </c>
      <c r="H6" s="94">
        <f>'BS assumptions'!H15</f>
        <v>35182.682536</v>
      </c>
      <c r="I6" s="94">
        <f>'BS assumptions'!I15</f>
        <v>38349.123964240003</v>
      </c>
      <c r="J6" s="94">
        <f>'BS assumptions'!J15</f>
        <v>41800.545121021605</v>
      </c>
      <c r="K6" s="94">
        <f>'BS assumptions'!K15</f>
        <v>45562.594181913555</v>
      </c>
    </row>
    <row r="7" spans="2:14" x14ac:dyDescent="0.25">
      <c r="B7" t="s">
        <v>104</v>
      </c>
      <c r="D7" s="75">
        <f>'BS_L&amp;T'!D37</f>
        <v>3520.97</v>
      </c>
      <c r="E7" s="75">
        <f>'BS_L&amp;T'!C37</f>
        <v>3398.77</v>
      </c>
      <c r="F7" s="75">
        <f>'BS_L&amp;T'!B37</f>
        <v>3690.92</v>
      </c>
      <c r="G7" s="94">
        <f>'BS assumptions'!G8</f>
        <v>3940.892910692035</v>
      </c>
      <c r="H7" s="94">
        <f>'BS assumptions'!H8</f>
        <v>4295.5732726543174</v>
      </c>
      <c r="I7" s="94">
        <f>'BS assumptions'!I8</f>
        <v>4682.1748671932073</v>
      </c>
      <c r="J7" s="94">
        <f>'BS assumptions'!J8</f>
        <v>5103.5706052405967</v>
      </c>
      <c r="K7" s="94">
        <f>'BS assumptions'!K8</f>
        <v>5562.8919597122504</v>
      </c>
    </row>
    <row r="8" spans="2:14" x14ac:dyDescent="0.25">
      <c r="B8" t="s">
        <v>27</v>
      </c>
      <c r="D8" s="75">
        <f>'BS_L&amp;T'!D38</f>
        <v>36961.550000000003</v>
      </c>
      <c r="E8" s="75">
        <f>'BS_L&amp;T'!C38</f>
        <v>38330.18</v>
      </c>
      <c r="F8" s="75">
        <f>'BS_L&amp;T'!B38</f>
        <v>45330.3</v>
      </c>
      <c r="G8" s="94">
        <f>'BS assumptions'!G5</f>
        <v>49410.027000000002</v>
      </c>
      <c r="H8" s="94">
        <f>'BS assumptions'!H5</f>
        <v>53856.929430000004</v>
      </c>
      <c r="I8" s="94">
        <f>'BS assumptions'!I5</f>
        <v>58704.05307870001</v>
      </c>
      <c r="J8" s="94">
        <f>'BS assumptions'!J5</f>
        <v>63987.417855783009</v>
      </c>
      <c r="K8" s="94">
        <f>'BS assumptions'!K5</f>
        <v>69746.285462803484</v>
      </c>
    </row>
    <row r="9" spans="2:14" x14ac:dyDescent="0.25">
      <c r="B9" t="s">
        <v>237</v>
      </c>
      <c r="D9" s="75">
        <f>'Unlevered Cash Flow'!D29</f>
        <v>4769.1899999999923</v>
      </c>
      <c r="E9" s="75">
        <f>'Unlevered Cash Flow'!E29</f>
        <v>4346.610000000006</v>
      </c>
      <c r="F9" s="75">
        <f>'Unlevered Cash Flow'!F29</f>
        <v>7544.3200000000197</v>
      </c>
      <c r="G9" s="94">
        <f>'Unlevered Cash Flow'!G29</f>
        <v>2290.1031771991456</v>
      </c>
      <c r="H9" s="94">
        <f>'Unlevered Cash Flow'!H29</f>
        <v>8698.4606808211865</v>
      </c>
      <c r="I9" s="94">
        <f>'Unlevered Cash Flow'!I29</f>
        <v>15752.95969007711</v>
      </c>
      <c r="J9" s="94">
        <f>'Unlevered Cash Flow'!J29</f>
        <v>23489.063967112554</v>
      </c>
      <c r="K9" s="94">
        <f>'Unlevered Cash Flow'!K29</f>
        <v>31945.89853104738</v>
      </c>
    </row>
    <row r="10" spans="2:14" x14ac:dyDescent="0.25">
      <c r="B10" t="s">
        <v>279</v>
      </c>
      <c r="D10" s="75">
        <f>'BS_L&amp;T'!D40</f>
        <v>63.04</v>
      </c>
      <c r="E10" s="75">
        <f>'BS_L&amp;T'!C40</f>
        <v>635.02</v>
      </c>
      <c r="F10" s="75">
        <f>'BS_L&amp;T'!B40</f>
        <v>352.71</v>
      </c>
      <c r="G10" s="94">
        <f>'BS assumptions'!G18</f>
        <v>384.45390000000003</v>
      </c>
      <c r="H10" s="94">
        <f>'BS assumptions'!H18</f>
        <v>419.05475100000001</v>
      </c>
      <c r="I10" s="94">
        <f>'BS assumptions'!I18</f>
        <v>456.76967859000007</v>
      </c>
      <c r="J10" s="94">
        <f>'BS assumptions'!J18</f>
        <v>497.87894966310006</v>
      </c>
      <c r="K10" s="94">
        <f>'BS assumptions'!K18</f>
        <v>542.68805513277914</v>
      </c>
    </row>
    <row r="11" spans="2:14" x14ac:dyDescent="0.25">
      <c r="B11" t="s">
        <v>278</v>
      </c>
      <c r="D11" s="75">
        <f>'BS_L&amp;T'!D41</f>
        <v>62541.16</v>
      </c>
      <c r="E11" s="75">
        <f>'BS_L&amp;T'!C41</f>
        <v>61073.69</v>
      </c>
      <c r="F11" s="75">
        <f>'BS_L&amp;T'!B41</f>
        <v>73380.45</v>
      </c>
      <c r="G11" s="94">
        <f>'BS assumptions'!G21</f>
        <v>79984.690499999997</v>
      </c>
      <c r="H11" s="94">
        <f>'BS assumptions'!H21</f>
        <v>87183.312644999998</v>
      </c>
      <c r="I11" s="94">
        <f>'BS assumptions'!I21</f>
        <v>95029.810783050008</v>
      </c>
      <c r="J11" s="94">
        <f>'BS assumptions'!J21</f>
        <v>103582.49375352451</v>
      </c>
      <c r="K11" s="94">
        <f>'BS assumptions'!K21</f>
        <v>112904.91819134173</v>
      </c>
    </row>
    <row r="12" spans="2:14" ht="15.75" thickBot="1" x14ac:dyDescent="0.3">
      <c r="B12" s="108" t="s">
        <v>118</v>
      </c>
      <c r="C12" s="108"/>
      <c r="D12" s="158">
        <f>SUM(D6:D11)</f>
        <v>124669.25</v>
      </c>
      <c r="E12" s="158">
        <f t="shared" ref="E12:K12" si="0">SUM(E6:E11)</f>
        <v>132572.56</v>
      </c>
      <c r="F12" s="158">
        <f t="shared" si="0"/>
        <v>159911.26</v>
      </c>
      <c r="G12" s="159">
        <f t="shared" si="0"/>
        <v>168287.85788789118</v>
      </c>
      <c r="H12" s="159">
        <f t="shared" si="0"/>
        <v>189636.01331547549</v>
      </c>
      <c r="I12" s="159">
        <f t="shared" si="0"/>
        <v>212974.89206185035</v>
      </c>
      <c r="J12" s="159">
        <f t="shared" si="0"/>
        <v>238460.97025234537</v>
      </c>
      <c r="K12" s="159">
        <f t="shared" si="0"/>
        <v>266265.27638195117</v>
      </c>
    </row>
    <row r="13" spans="2:14" ht="15.75" thickTop="1" x14ac:dyDescent="0.25">
      <c r="B13" s="74" t="s">
        <v>120</v>
      </c>
      <c r="C13" s="74"/>
      <c r="D13" s="109"/>
      <c r="E13" s="109"/>
      <c r="F13" s="109"/>
      <c r="G13" s="110"/>
      <c r="H13" s="110"/>
      <c r="I13" s="110"/>
      <c r="J13" s="110"/>
      <c r="K13" s="110"/>
    </row>
    <row r="14" spans="2:14" x14ac:dyDescent="0.25">
      <c r="B14" s="160" t="s">
        <v>230</v>
      </c>
      <c r="C14" s="74"/>
      <c r="D14" s="161">
        <f>'BS_L&amp;T'!D29</f>
        <v>12463.33</v>
      </c>
      <c r="E14" s="161">
        <f>'BS_L&amp;T'!C29</f>
        <v>12393.07</v>
      </c>
      <c r="F14" s="161">
        <f>'BS_L&amp;T'!B29</f>
        <v>13712.47</v>
      </c>
      <c r="G14" s="172">
        <f>'Fixed assets roll forward'!G8</f>
        <v>14927.575375855549</v>
      </c>
      <c r="H14" s="172">
        <f>'Fixed assets roll forward'!H8</f>
        <v>16248.031980290434</v>
      </c>
      <c r="I14" s="172">
        <f>'Fixed assets roll forward'!I8</f>
        <v>17682.476591662686</v>
      </c>
      <c r="J14" s="172">
        <f>'Fixed assets roll forward'!J8</f>
        <v>19240.145230513652</v>
      </c>
      <c r="K14" s="172">
        <f>'Fixed assets roll forward'!K8</f>
        <v>20930.889559455307</v>
      </c>
    </row>
    <row r="15" spans="2:14" x14ac:dyDescent="0.25">
      <c r="B15" s="160" t="s">
        <v>234</v>
      </c>
      <c r="C15" s="74"/>
      <c r="D15" s="161">
        <f>'BS assumptions'!D24</f>
        <v>38150.11</v>
      </c>
      <c r="E15" s="161">
        <f>'BS assumptions'!E24</f>
        <v>41450.720000000001</v>
      </c>
      <c r="F15" s="161">
        <f>'BS assumptions'!F24</f>
        <v>34514.509999999995</v>
      </c>
      <c r="G15" s="172">
        <f>'BS assumptions'!G24</f>
        <v>38038.446666666663</v>
      </c>
      <c r="H15" s="172">
        <f>'BS assumptions'!H24</f>
        <v>41922.177797478347</v>
      </c>
      <c r="I15" s="172">
        <f>'BS assumptions'!I24</f>
        <v>46202.438461386169</v>
      </c>
      <c r="J15" s="172">
        <f>'BS assumptions'!J24</f>
        <v>50919.714383411105</v>
      </c>
      <c r="K15" s="172">
        <f>'BS assumptions'!K24</f>
        <v>56118.62488719332</v>
      </c>
      <c r="N15" s="4"/>
    </row>
    <row r="16" spans="2:14" ht="15.75" thickBot="1" x14ac:dyDescent="0.3">
      <c r="B16" s="108" t="s">
        <v>121</v>
      </c>
      <c r="C16" s="107"/>
      <c r="D16" s="158">
        <f t="shared" ref="D16:K16" si="1">SUM(D14:D15)</f>
        <v>50613.440000000002</v>
      </c>
      <c r="E16" s="158">
        <f t="shared" si="1"/>
        <v>53843.79</v>
      </c>
      <c r="F16" s="158">
        <f t="shared" si="1"/>
        <v>48226.979999999996</v>
      </c>
      <c r="G16" s="159">
        <f t="shared" si="1"/>
        <v>52966.022042522214</v>
      </c>
      <c r="H16" s="159">
        <f t="shared" si="1"/>
        <v>58170.209777768781</v>
      </c>
      <c r="I16" s="159">
        <f t="shared" si="1"/>
        <v>63884.915053048855</v>
      </c>
      <c r="J16" s="159">
        <f t="shared" si="1"/>
        <v>70159.859613924753</v>
      </c>
      <c r="K16" s="159">
        <f t="shared" si="1"/>
        <v>77049.514446648624</v>
      </c>
    </row>
    <row r="17" spans="2:11" ht="16.5" thickTop="1" thickBot="1" x14ac:dyDescent="0.3">
      <c r="B17" s="192" t="s">
        <v>36</v>
      </c>
      <c r="C17" s="111"/>
      <c r="D17" s="162">
        <f t="shared" ref="D17:K17" si="2">D12+D16</f>
        <v>175282.69</v>
      </c>
      <c r="E17" s="162">
        <f t="shared" si="2"/>
        <v>186416.35</v>
      </c>
      <c r="F17" s="162">
        <f t="shared" si="2"/>
        <v>208138.23999999999</v>
      </c>
      <c r="G17" s="163">
        <f t="shared" si="2"/>
        <v>221253.87993041339</v>
      </c>
      <c r="H17" s="163">
        <f t="shared" si="2"/>
        <v>247806.22309324428</v>
      </c>
      <c r="I17" s="163">
        <f t="shared" si="2"/>
        <v>276859.80711489922</v>
      </c>
      <c r="J17" s="163">
        <f t="shared" si="2"/>
        <v>308620.82986627013</v>
      </c>
      <c r="K17" s="163">
        <f t="shared" si="2"/>
        <v>343314.79082859983</v>
      </c>
    </row>
    <row r="18" spans="2:11" x14ac:dyDescent="0.25">
      <c r="B18" s="105" t="s">
        <v>119</v>
      </c>
      <c r="C18" s="112"/>
      <c r="D18" s="113"/>
      <c r="E18" s="113"/>
      <c r="F18" s="113"/>
      <c r="G18" s="114"/>
      <c r="H18" s="114"/>
      <c r="I18" s="114"/>
      <c r="J18" s="114"/>
      <c r="K18" s="114"/>
    </row>
    <row r="19" spans="2:11" x14ac:dyDescent="0.25">
      <c r="B19" t="s">
        <v>220</v>
      </c>
      <c r="D19" s="75">
        <f>'BS_L&amp;T'!D17</f>
        <v>10609.33</v>
      </c>
      <c r="E19" s="75">
        <f>'BS_L&amp;T'!C17</f>
        <v>12648.88</v>
      </c>
      <c r="F19" s="75">
        <f>'BS_L&amp;T'!B17</f>
        <v>1593.46</v>
      </c>
      <c r="G19" s="94">
        <f>'BS assumptions'!G27</f>
        <v>1736.8714</v>
      </c>
      <c r="H19" s="94">
        <f>'BS assumptions'!H27</f>
        <v>1893.189826</v>
      </c>
      <c r="I19" s="94">
        <f>'BS assumptions'!I27</f>
        <v>2063.5769103400003</v>
      </c>
      <c r="J19" s="94">
        <f>'BS assumptions'!J27</f>
        <v>2249.2988322706005</v>
      </c>
      <c r="K19" s="94">
        <f>'BS assumptions'!K27</f>
        <v>2451.7357271749543</v>
      </c>
    </row>
    <row r="20" spans="2:11" x14ac:dyDescent="0.25">
      <c r="B20" t="s">
        <v>30</v>
      </c>
      <c r="D20" s="75">
        <f>'BS_L&amp;T'!D18</f>
        <v>40846.33</v>
      </c>
      <c r="E20" s="75">
        <f>'BS_L&amp;T'!C18</f>
        <v>38795.99</v>
      </c>
      <c r="F20" s="75">
        <f>'BS_L&amp;T'!B18</f>
        <v>49140.51</v>
      </c>
      <c r="G20" s="94">
        <f>'BS assumptions'!G11</f>
        <v>52468.622318227171</v>
      </c>
      <c r="H20" s="94">
        <f>'BS assumptions'!H11</f>
        <v>57190.798326867618</v>
      </c>
      <c r="I20" s="94">
        <f>'BS assumptions'!I11</f>
        <v>62337.970176285708</v>
      </c>
      <c r="J20" s="94">
        <f>'BS assumptions'!J11</f>
        <v>67948.387492151436</v>
      </c>
      <c r="K20" s="94">
        <f>'BS assumptions'!K11</f>
        <v>74063.742366445062</v>
      </c>
    </row>
    <row r="21" spans="2:11" x14ac:dyDescent="0.25">
      <c r="B21" t="s">
        <v>221</v>
      </c>
      <c r="D21" s="75">
        <f>'BS_L&amp;T'!D19</f>
        <v>44919.82</v>
      </c>
      <c r="E21" s="75">
        <f>'BS_L&amp;T'!C19</f>
        <v>50265.96</v>
      </c>
      <c r="F21" s="75">
        <f>'BS_L&amp;T'!B19</f>
        <v>68948.95</v>
      </c>
      <c r="G21" s="94">
        <f>'BS assumptions'!G30</f>
        <v>64615.503251483075</v>
      </c>
      <c r="H21" s="94">
        <f>'BS assumptions'!H30</f>
        <v>70430.898544116557</v>
      </c>
      <c r="I21" s="94">
        <f>'BS assumptions'!I30</f>
        <v>76769.67941308704</v>
      </c>
      <c r="J21" s="94">
        <f>'BS assumptions'!J30</f>
        <v>83678.950560264886</v>
      </c>
      <c r="K21" s="94">
        <f>'BS assumptions'!K30</f>
        <v>91210.056110688718</v>
      </c>
    </row>
    <row r="22" spans="2:11" x14ac:dyDescent="0.25">
      <c r="B22" t="s">
        <v>222</v>
      </c>
      <c r="D22" s="75">
        <f>'BS_L&amp;T'!D20</f>
        <v>1651.57</v>
      </c>
      <c r="E22" s="75">
        <f>'BS_L&amp;T'!C20</f>
        <v>2398.23</v>
      </c>
      <c r="F22" s="75">
        <f>'BS_L&amp;T'!B20</f>
        <v>2702.49</v>
      </c>
      <c r="G22" s="94">
        <f>'BS assumptions'!G33</f>
        <v>2652.0953430935674</v>
      </c>
      <c r="H22" s="94">
        <f>'BS assumptions'!H33</f>
        <v>2890.7839239719883</v>
      </c>
      <c r="I22" s="94">
        <f>'BS assumptions'!I33</f>
        <v>3150.9544771294677</v>
      </c>
      <c r="J22" s="94">
        <f>'BS assumptions'!J33</f>
        <v>3434.5403800711201</v>
      </c>
      <c r="K22" s="94">
        <f>'BS assumptions'!K33</f>
        <v>3743.649014277521</v>
      </c>
    </row>
    <row r="23" spans="2:11" ht="15.75" thickBot="1" x14ac:dyDescent="0.3">
      <c r="B23" s="115" t="s">
        <v>122</v>
      </c>
      <c r="C23" s="115"/>
      <c r="D23" s="164">
        <f>SUM(D19:D22)</f>
        <v>98027.050000000017</v>
      </c>
      <c r="E23" s="164">
        <f t="shared" ref="E23:K23" si="3">SUM(E19:E22)</f>
        <v>104109.05999999998</v>
      </c>
      <c r="F23" s="164">
        <f t="shared" si="3"/>
        <v>122385.41</v>
      </c>
      <c r="G23" s="165">
        <f t="shared" si="3"/>
        <v>121473.09231280381</v>
      </c>
      <c r="H23" s="165">
        <f t="shared" si="3"/>
        <v>132405.67062095617</v>
      </c>
      <c r="I23" s="165">
        <f t="shared" si="3"/>
        <v>144322.18097684221</v>
      </c>
      <c r="J23" s="165">
        <f t="shared" si="3"/>
        <v>157311.17726475807</v>
      </c>
      <c r="K23" s="165">
        <f t="shared" si="3"/>
        <v>171469.18321858626</v>
      </c>
    </row>
    <row r="24" spans="2:11" ht="15.75" thickTop="1" x14ac:dyDescent="0.25">
      <c r="B24" s="105" t="s">
        <v>123</v>
      </c>
      <c r="C24" s="105"/>
      <c r="D24" s="116"/>
      <c r="E24" s="116"/>
      <c r="F24" s="116"/>
      <c r="G24" s="117"/>
      <c r="H24" s="117"/>
      <c r="I24" s="117"/>
      <c r="J24" s="117"/>
      <c r="K24" s="117"/>
    </row>
    <row r="25" spans="2:11" x14ac:dyDescent="0.25">
      <c r="B25" s="18" t="s">
        <v>215</v>
      </c>
      <c r="C25" s="105"/>
      <c r="D25" s="166">
        <f>'BS_L&amp;T'!D11</f>
        <v>11931.14</v>
      </c>
      <c r="E25" s="166">
        <f>'BS_L&amp;T'!C11</f>
        <v>9286</v>
      </c>
      <c r="F25" s="166">
        <f>'BS_L&amp;T'!B11</f>
        <v>9787.67</v>
      </c>
      <c r="G25" s="174">
        <f>'Financial Liabilities'!G8</f>
        <v>9143.4446806000469</v>
      </c>
      <c r="H25" s="174">
        <f>'Financial Liabilities'!H8</f>
        <v>8441.239082454098</v>
      </c>
      <c r="I25" s="174">
        <f>'Financial Liabilities'!I8</f>
        <v>7675.8349804750142</v>
      </c>
      <c r="J25" s="174">
        <f>'Financial Liabilities'!J8</f>
        <v>6841.5445093178123</v>
      </c>
      <c r="K25" s="174">
        <f>'Financial Liabilities'!K8</f>
        <v>5932.1678957564627</v>
      </c>
    </row>
    <row r="26" spans="2:11" x14ac:dyDescent="0.25">
      <c r="B26" s="18" t="s">
        <v>216</v>
      </c>
      <c r="C26" s="105"/>
      <c r="D26" s="166">
        <f>'BS_L&amp;T'!D12</f>
        <v>0</v>
      </c>
      <c r="E26" s="166">
        <f>'BS_L&amp;T'!C12</f>
        <v>0</v>
      </c>
      <c r="F26" s="166">
        <f>'BS_L&amp;T'!B12</f>
        <v>0</v>
      </c>
      <c r="G26" s="167">
        <f>F26</f>
        <v>0</v>
      </c>
      <c r="H26" s="167">
        <f t="shared" ref="H26:K26" si="4">G26</f>
        <v>0</v>
      </c>
      <c r="I26" s="167">
        <f t="shared" si="4"/>
        <v>0</v>
      </c>
      <c r="J26" s="167">
        <f t="shared" si="4"/>
        <v>0</v>
      </c>
      <c r="K26" s="167">
        <f t="shared" si="4"/>
        <v>0</v>
      </c>
    </row>
    <row r="27" spans="2:11" x14ac:dyDescent="0.25">
      <c r="B27" s="18" t="s">
        <v>217</v>
      </c>
      <c r="C27" s="105"/>
      <c r="D27" s="166">
        <f>'BS_L&amp;T'!D13</f>
        <v>210.73</v>
      </c>
      <c r="E27" s="166">
        <f>'BS_L&amp;T'!C13</f>
        <v>359.73</v>
      </c>
      <c r="F27" s="166">
        <f>'BS_L&amp;T'!B13</f>
        <v>662.94</v>
      </c>
      <c r="G27" s="174">
        <f>'BS assumptions'!G36</f>
        <v>475.02661769919911</v>
      </c>
      <c r="H27" s="174">
        <f>'BS assumptions'!H36</f>
        <v>517.77901329212705</v>
      </c>
      <c r="I27" s="174">
        <f>'BS assumptions'!I36</f>
        <v>564.37912448841848</v>
      </c>
      <c r="J27" s="174">
        <f>'BS assumptions'!J36</f>
        <v>615.17324569237621</v>
      </c>
      <c r="K27" s="174">
        <f>'BS assumptions'!K36</f>
        <v>670.53883780469016</v>
      </c>
    </row>
    <row r="28" spans="2:11" x14ac:dyDescent="0.25">
      <c r="B28" s="18" t="s">
        <v>218</v>
      </c>
      <c r="C28" s="105"/>
      <c r="D28" s="166">
        <f>'BS_L&amp;T'!D14</f>
        <v>697.73</v>
      </c>
      <c r="E28" s="166">
        <f>'BS_L&amp;T'!C14</f>
        <v>765.72</v>
      </c>
      <c r="F28" s="166">
        <f>'BS_L&amp;T'!B14</f>
        <v>769.32</v>
      </c>
      <c r="G28" s="174">
        <f>'BS assumptions'!G39</f>
        <v>888.16259731715013</v>
      </c>
      <c r="H28" s="174">
        <f>'BS assumptions'!H39</f>
        <v>968.09723107569368</v>
      </c>
      <c r="I28" s="174">
        <f>'BS assumptions'!I39</f>
        <v>1055.2259818725061</v>
      </c>
      <c r="J28" s="174">
        <f>'BS assumptions'!J39</f>
        <v>1150.1963202410318</v>
      </c>
      <c r="K28" s="174">
        <f>'BS assumptions'!K39</f>
        <v>1253.713989062725</v>
      </c>
    </row>
    <row r="29" spans="2:11" ht="15.75" thickBot="1" x14ac:dyDescent="0.3">
      <c r="B29" s="115" t="s">
        <v>124</v>
      </c>
      <c r="C29" s="115"/>
      <c r="D29" s="164">
        <f>SUM(D25:D28)</f>
        <v>12839.599999999999</v>
      </c>
      <c r="E29" s="164">
        <f t="shared" ref="E29:K29" si="5">SUM(E25:E28)</f>
        <v>10411.449999999999</v>
      </c>
      <c r="F29" s="164">
        <f t="shared" si="5"/>
        <v>11219.93</v>
      </c>
      <c r="G29" s="165">
        <f t="shared" si="5"/>
        <v>10506.633895616396</v>
      </c>
      <c r="H29" s="165">
        <f t="shared" si="5"/>
        <v>9927.1153268219186</v>
      </c>
      <c r="I29" s="165">
        <f t="shared" si="5"/>
        <v>9295.4400868359371</v>
      </c>
      <c r="J29" s="165">
        <f t="shared" si="5"/>
        <v>8606.9140752512212</v>
      </c>
      <c r="K29" s="165">
        <f t="shared" si="5"/>
        <v>7856.4207226238777</v>
      </c>
    </row>
    <row r="30" spans="2:11" ht="15.75" thickTop="1" x14ac:dyDescent="0.25">
      <c r="B30" s="18" t="s">
        <v>209</v>
      </c>
      <c r="C30" s="105"/>
      <c r="D30" s="168">
        <f>'BS_L&amp;T'!D5</f>
        <v>274.93</v>
      </c>
      <c r="E30" s="168">
        <f>'BS_L&amp;T'!C5</f>
        <v>275.04000000000002</v>
      </c>
      <c r="F30" s="168">
        <f>'BS_L&amp;T'!B5</f>
        <v>275.13</v>
      </c>
      <c r="G30" s="169">
        <f>'Equity &amp; Reserves schedule'!G9</f>
        <v>4486.9167777123384</v>
      </c>
      <c r="H30" s="169">
        <f>'Equity &amp; Reserves schedule'!H9</f>
        <v>9115.2834701331958</v>
      </c>
      <c r="I30" s="169">
        <f>'Equity &amp; Reserves schedule'!I9</f>
        <v>14192.068871777443</v>
      </c>
      <c r="J30" s="169">
        <f>'Equity &amp; Reserves schedule'!J9</f>
        <v>19752.226721788815</v>
      </c>
      <c r="K30" s="169">
        <f>'Equity &amp; Reserves schedule'!K9</f>
        <v>25834.069110682762</v>
      </c>
    </row>
    <row r="31" spans="2:11" x14ac:dyDescent="0.25">
      <c r="B31" s="18" t="s">
        <v>211</v>
      </c>
      <c r="C31" s="105"/>
      <c r="D31" s="168">
        <f>'BS_L&amp;T'!D7</f>
        <v>64141.11</v>
      </c>
      <c r="E31" s="168">
        <f>'BS_L&amp;T'!C7</f>
        <v>71620.800000000003</v>
      </c>
      <c r="F31" s="168">
        <f>'BS_L&amp;T'!B7</f>
        <v>74257.77</v>
      </c>
      <c r="G31" s="169">
        <f>'Equity &amp; Reserves schedule'!G20</f>
        <v>84787.236944280856</v>
      </c>
      <c r="H31" s="169">
        <f>'Equity &amp; Reserves schedule'!H20</f>
        <v>96358.153675333</v>
      </c>
      <c r="I31" s="169">
        <f>'Equity &amp; Reserves schedule'!I20</f>
        <v>109050.11717944362</v>
      </c>
      <c r="J31" s="169">
        <f>'Equity &amp; Reserves schedule'!J20</f>
        <v>122950.51180447206</v>
      </c>
      <c r="K31" s="169">
        <f>'Equity &amp; Reserves schedule'!K20</f>
        <v>138155.11777670693</v>
      </c>
    </row>
    <row r="32" spans="2:11" ht="15.75" thickBot="1" x14ac:dyDescent="0.3">
      <c r="B32" s="115" t="s">
        <v>213</v>
      </c>
      <c r="C32" s="115"/>
      <c r="D32" s="164">
        <f>SUM(D30:D31)</f>
        <v>64416.04</v>
      </c>
      <c r="E32" s="164">
        <f t="shared" ref="E32:K32" si="6">SUM(E30:E31)</f>
        <v>71895.839999999997</v>
      </c>
      <c r="F32" s="164">
        <f t="shared" si="6"/>
        <v>74532.900000000009</v>
      </c>
      <c r="G32" s="165">
        <f t="shared" si="6"/>
        <v>89274.153721993192</v>
      </c>
      <c r="H32" s="165">
        <f t="shared" si="6"/>
        <v>105473.43714546619</v>
      </c>
      <c r="I32" s="165">
        <f t="shared" si="6"/>
        <v>123242.18605122107</v>
      </c>
      <c r="J32" s="165">
        <f t="shared" si="6"/>
        <v>142702.73852626089</v>
      </c>
      <c r="K32" s="165">
        <f t="shared" si="6"/>
        <v>163989.18688738969</v>
      </c>
    </row>
    <row r="33" spans="2:11" ht="16.5" thickTop="1" thickBot="1" x14ac:dyDescent="0.3">
      <c r="B33" s="193" t="s">
        <v>37</v>
      </c>
      <c r="C33" s="118"/>
      <c r="D33" s="170">
        <f>D23+D29+D32</f>
        <v>175282.69000000003</v>
      </c>
      <c r="E33" s="170">
        <f t="shared" ref="E33:K33" si="7">E23+E29+E32</f>
        <v>186416.34999999998</v>
      </c>
      <c r="F33" s="170">
        <f t="shared" si="7"/>
        <v>208138.23999999999</v>
      </c>
      <c r="G33" s="171">
        <f t="shared" si="7"/>
        <v>221253.87993041339</v>
      </c>
      <c r="H33" s="171">
        <f t="shared" si="7"/>
        <v>247806.22309324428</v>
      </c>
      <c r="I33" s="171">
        <f t="shared" si="7"/>
        <v>276859.80711489922</v>
      </c>
      <c r="J33" s="171">
        <f t="shared" si="7"/>
        <v>308620.82986627019</v>
      </c>
      <c r="K33" s="171">
        <f t="shared" si="7"/>
        <v>343314.79082859983</v>
      </c>
    </row>
    <row r="35" spans="2:11" x14ac:dyDescent="0.25">
      <c r="B35" s="60" t="s">
        <v>58</v>
      </c>
      <c r="C35" s="61"/>
      <c r="D35" s="62">
        <f t="shared" ref="D35:K35" si="8">D17-D33</f>
        <v>0</v>
      </c>
      <c r="E35" s="62">
        <f t="shared" si="8"/>
        <v>0</v>
      </c>
      <c r="F35" s="62">
        <f t="shared" si="8"/>
        <v>0</v>
      </c>
      <c r="G35" s="62">
        <f t="shared" si="8"/>
        <v>0</v>
      </c>
      <c r="H35" s="62">
        <f t="shared" si="8"/>
        <v>0</v>
      </c>
      <c r="I35" s="62">
        <f t="shared" si="8"/>
        <v>0</v>
      </c>
      <c r="J35" s="62">
        <f t="shared" si="8"/>
        <v>0</v>
      </c>
      <c r="K35" s="62">
        <f t="shared" si="8"/>
        <v>0</v>
      </c>
    </row>
    <row r="38" spans="2:11" x14ac:dyDescent="0.25">
      <c r="B38" s="74"/>
    </row>
  </sheetData>
  <sheetProtection algorithmName="SHA-512" hashValue="OG5jTEnd10oiX38i7zw/gnF6eD4JgxbBQov1tXFNh76dpYO0X8d1+cbkAXS+KN1x5mlsk7tOmVjSqPvPiKauFg==" saltValue="0K0ei5wTWB8lwx13Jmq5Xg==" spinCount="100000" sheet="1" objects="1" scenarios="1"/>
  <mergeCells count="2">
    <mergeCell ref="D3:F3"/>
    <mergeCell ref="G3:K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C1E2E-FBE0-4957-8433-64E61FB88BE8}">
  <sheetPr codeName="Sheet8">
    <tabColor rgb="FF0070C0"/>
  </sheetPr>
  <dimension ref="B1:K32"/>
  <sheetViews>
    <sheetView showGridLines="0" workbookViewId="0">
      <pane ySplit="3" topLeftCell="A4" activePane="bottomLeft" state="frozen"/>
      <selection pane="bottomLeft"/>
    </sheetView>
  </sheetViews>
  <sheetFormatPr defaultRowHeight="15" x14ac:dyDescent="0.25"/>
  <cols>
    <col min="1" max="1" width="2.42578125" customWidth="1"/>
    <col min="2" max="2" width="35.28515625" bestFit="1" customWidth="1"/>
    <col min="3" max="3" width="11.42578125" customWidth="1"/>
    <col min="4" max="11" width="10.7109375" customWidth="1"/>
  </cols>
  <sheetData>
    <row r="1" spans="2:11" ht="15.75" x14ac:dyDescent="0.25">
      <c r="B1" s="7" t="s">
        <v>294</v>
      </c>
    </row>
    <row r="2" spans="2:11" ht="15.75" x14ac:dyDescent="0.25">
      <c r="B2" s="7"/>
    </row>
    <row r="3" spans="2:11" ht="42" customHeight="1" thickBot="1" x14ac:dyDescent="0.3">
      <c r="B3" s="33" t="s">
        <v>276</v>
      </c>
      <c r="C3" s="34"/>
      <c r="D3" s="85" t="s">
        <v>266</v>
      </c>
      <c r="E3" s="85" t="s">
        <v>267</v>
      </c>
      <c r="F3" s="85" t="s">
        <v>268</v>
      </c>
      <c r="G3" s="84" t="s">
        <v>269</v>
      </c>
      <c r="H3" s="84" t="s">
        <v>270</v>
      </c>
      <c r="I3" s="84" t="s">
        <v>271</v>
      </c>
      <c r="J3" s="84" t="s">
        <v>272</v>
      </c>
      <c r="K3" s="84" t="s">
        <v>273</v>
      </c>
    </row>
    <row r="4" spans="2:11" x14ac:dyDescent="0.25">
      <c r="B4" t="s">
        <v>10</v>
      </c>
      <c r="C4" t="s">
        <v>59</v>
      </c>
      <c r="D4" s="75">
        <f>'P&amp;L'!D12</f>
        <v>13722.140000000005</v>
      </c>
      <c r="E4" s="75">
        <f>'P&amp;L'!E12</f>
        <v>15769.220000000005</v>
      </c>
      <c r="F4" s="75">
        <f>'P&amp;L'!F12</f>
        <v>10816.64000000003</v>
      </c>
      <c r="G4" s="94">
        <f>'P&amp;L'!G12</f>
        <v>22185.593750499982</v>
      </c>
      <c r="H4" s="94">
        <f>'P&amp;L'!H12</f>
        <v>24102.825928045015</v>
      </c>
      <c r="I4" s="94">
        <f>'P&amp;L'!I12</f>
        <v>26186.251300769032</v>
      </c>
      <c r="J4" s="94">
        <f>'P&amp;L'!J12</f>
        <v>28450.318640174257</v>
      </c>
      <c r="K4" s="94">
        <f>'P&amp;L'!K12</f>
        <v>30910.736417912831</v>
      </c>
    </row>
    <row r="5" spans="2:11" x14ac:dyDescent="0.25">
      <c r="B5" t="s">
        <v>60</v>
      </c>
      <c r="C5" t="s">
        <v>59</v>
      </c>
      <c r="D5" s="63">
        <f>-D4*D6</f>
        <v>-2439.723835525891</v>
      </c>
      <c r="E5" s="63">
        <f t="shared" ref="E5:K5" si="0">-E4*E6</f>
        <v>-3140.2376665566499</v>
      </c>
      <c r="F5" s="63">
        <f t="shared" si="0"/>
        <v>-3377.1929849188609</v>
      </c>
      <c r="G5" s="70">
        <f t="shared" si="0"/>
        <v>-3327.8390625749971</v>
      </c>
      <c r="H5" s="70">
        <f t="shared" si="0"/>
        <v>-3615.4238892067519</v>
      </c>
      <c r="I5" s="70">
        <f t="shared" si="0"/>
        <v>-3927.9376951153545</v>
      </c>
      <c r="J5" s="70">
        <f t="shared" si="0"/>
        <v>-4267.5477960261387</v>
      </c>
      <c r="K5" s="70">
        <f t="shared" si="0"/>
        <v>-4636.6104626869246</v>
      </c>
    </row>
    <row r="6" spans="2:11" x14ac:dyDescent="0.25">
      <c r="B6" t="s">
        <v>61</v>
      </c>
      <c r="D6" s="23">
        <f>'P&amp;L assumptions'!D47</f>
        <v>0.17779470516449258</v>
      </c>
      <c r="E6" s="23">
        <f>'P&amp;L assumptions'!E47</f>
        <v>0.19913715875335933</v>
      </c>
      <c r="F6" s="23">
        <f>'P&amp;L assumptions'!F47</f>
        <v>0.31222200100205344</v>
      </c>
      <c r="G6" s="71">
        <f>'P&amp;L assumptions'!G47</f>
        <v>0.15</v>
      </c>
      <c r="H6" s="71">
        <f>'P&amp;L assumptions'!H47</f>
        <v>0.15</v>
      </c>
      <c r="I6" s="71">
        <f>'P&amp;L assumptions'!I47</f>
        <v>0.15</v>
      </c>
      <c r="J6" s="71">
        <f>'P&amp;L assumptions'!J47</f>
        <v>0.15</v>
      </c>
      <c r="K6" s="71">
        <f>'P&amp;L assumptions'!K47</f>
        <v>0.15</v>
      </c>
    </row>
    <row r="7" spans="2:11" x14ac:dyDescent="0.25">
      <c r="B7" s="64" t="s">
        <v>62</v>
      </c>
      <c r="C7" s="9"/>
      <c r="D7" s="175">
        <f>D4+D5</f>
        <v>11282.416164474114</v>
      </c>
      <c r="E7" s="175">
        <f t="shared" ref="E7:K7" si="1">E4+E5</f>
        <v>12628.982333443355</v>
      </c>
      <c r="F7" s="175">
        <f t="shared" si="1"/>
        <v>7439.4470150811694</v>
      </c>
      <c r="G7" s="176">
        <f t="shared" si="1"/>
        <v>18857.754687924986</v>
      </c>
      <c r="H7" s="176">
        <f t="shared" si="1"/>
        <v>20487.402038838263</v>
      </c>
      <c r="I7" s="176">
        <f t="shared" si="1"/>
        <v>22258.313605653679</v>
      </c>
      <c r="J7" s="176">
        <f t="shared" si="1"/>
        <v>24182.770844148119</v>
      </c>
      <c r="K7" s="176">
        <f t="shared" si="1"/>
        <v>26274.125955225907</v>
      </c>
    </row>
    <row r="8" spans="2:11" x14ac:dyDescent="0.25">
      <c r="B8" t="s">
        <v>63</v>
      </c>
      <c r="C8" t="s">
        <v>59</v>
      </c>
      <c r="D8" s="63">
        <f>'P&amp;L'!D11</f>
        <v>1751.01</v>
      </c>
      <c r="E8" s="63">
        <f>'P&amp;L'!E11</f>
        <v>1963.02</v>
      </c>
      <c r="F8" s="63">
        <f>'P&amp;L'!F11</f>
        <v>1985.4</v>
      </c>
      <c r="G8" s="70">
        <f>'P&amp;L'!G11</f>
        <v>1675.1138530000003</v>
      </c>
      <c r="H8" s="70">
        <f>'P&amp;L'!H11</f>
        <v>1825.8740997700004</v>
      </c>
      <c r="I8" s="70">
        <f>'P&amp;L'!I11</f>
        <v>1990.2027687493005</v>
      </c>
      <c r="J8" s="70">
        <f>'P&amp;L'!J11</f>
        <v>2169.3210179367375</v>
      </c>
      <c r="K8" s="70">
        <f>'P&amp;L'!K11</f>
        <v>2364.5599095510443</v>
      </c>
    </row>
    <row r="9" spans="2:11" x14ac:dyDescent="0.25">
      <c r="B9" s="64" t="s">
        <v>64</v>
      </c>
      <c r="C9" s="9"/>
      <c r="D9" s="175">
        <f t="shared" ref="D9:K9" si="2">D7+D8</f>
        <v>13033.426164474115</v>
      </c>
      <c r="E9" s="175">
        <f t="shared" si="2"/>
        <v>14592.002333443355</v>
      </c>
      <c r="F9" s="175">
        <f t="shared" si="2"/>
        <v>9424.84701508117</v>
      </c>
      <c r="G9" s="176">
        <f t="shared" si="2"/>
        <v>20532.868540924985</v>
      </c>
      <c r="H9" s="176">
        <f t="shared" si="2"/>
        <v>22313.276138608264</v>
      </c>
      <c r="I9" s="176">
        <f t="shared" si="2"/>
        <v>24248.516374402978</v>
      </c>
      <c r="J9" s="176">
        <f t="shared" si="2"/>
        <v>26352.091862084857</v>
      </c>
      <c r="K9" s="176">
        <f t="shared" si="2"/>
        <v>28638.685864776951</v>
      </c>
    </row>
    <row r="10" spans="2:11" x14ac:dyDescent="0.25">
      <c r="B10" t="s">
        <v>27</v>
      </c>
      <c r="C10" t="s">
        <v>66</v>
      </c>
      <c r="D10" s="75">
        <f>-('Balance Sheet'!D8-'BS_L&amp;T'!E38)</f>
        <v>-3808.9700000000012</v>
      </c>
      <c r="E10" s="75">
        <f>-('Balance Sheet'!E8-'Balance Sheet'!D8)</f>
        <v>-1368.6299999999974</v>
      </c>
      <c r="F10" s="75">
        <f>-('Balance Sheet'!F8-'Balance Sheet'!E8)</f>
        <v>-7000.1200000000026</v>
      </c>
      <c r="G10" s="94">
        <f>-('Balance Sheet'!G8-'Balance Sheet'!F8)</f>
        <v>-4079.726999999999</v>
      </c>
      <c r="H10" s="94">
        <f>-('Balance Sheet'!H8-'Balance Sheet'!G8)</f>
        <v>-4446.9024300000019</v>
      </c>
      <c r="I10" s="94">
        <f>-('Balance Sheet'!I8-'Balance Sheet'!H8)</f>
        <v>-4847.123648700006</v>
      </c>
      <c r="J10" s="94">
        <f>-('Balance Sheet'!J8-'Balance Sheet'!I8)</f>
        <v>-5283.3647770829994</v>
      </c>
      <c r="K10" s="94">
        <f>-('Balance Sheet'!K8-'Balance Sheet'!J8)</f>
        <v>-5758.8676070204747</v>
      </c>
    </row>
    <row r="11" spans="2:11" x14ac:dyDescent="0.25">
      <c r="B11" t="s">
        <v>28</v>
      </c>
      <c r="C11" t="s">
        <v>66</v>
      </c>
      <c r="D11" s="75">
        <f>-('Balance Sheet'!D7-'BS_L&amp;T'!E37)</f>
        <v>-92.409999999999854</v>
      </c>
      <c r="E11" s="75">
        <f>-('Balance Sheet'!E7-'Balance Sheet'!D7)</f>
        <v>122.19999999999982</v>
      </c>
      <c r="F11" s="75">
        <f>-('Balance Sheet'!F7-'Balance Sheet'!E7)</f>
        <v>-292.15000000000009</v>
      </c>
      <c r="G11" s="94">
        <f>-('Balance Sheet'!G7-'Balance Sheet'!F7)</f>
        <v>-249.97291069203493</v>
      </c>
      <c r="H11" s="94">
        <f>-('Balance Sheet'!H7-'Balance Sheet'!G7)</f>
        <v>-354.6803619622824</v>
      </c>
      <c r="I11" s="94">
        <f>-('Balance Sheet'!I7-'Balance Sheet'!H7)</f>
        <v>-386.60159453888991</v>
      </c>
      <c r="J11" s="94">
        <f>-('Balance Sheet'!J7-'Balance Sheet'!I7)</f>
        <v>-421.39573804738939</v>
      </c>
      <c r="K11" s="94">
        <f>-('Balance Sheet'!K7-'Balance Sheet'!J7)</f>
        <v>-459.32135447165365</v>
      </c>
    </row>
    <row r="12" spans="2:11" x14ac:dyDescent="0.25">
      <c r="B12" t="s">
        <v>30</v>
      </c>
      <c r="C12" t="s">
        <v>66</v>
      </c>
      <c r="D12" s="75">
        <f>'Balance Sheet'!D20-'BS_L&amp;T'!E18</f>
        <v>-934.04000000000087</v>
      </c>
      <c r="E12" s="75">
        <f>'Balance Sheet'!E20-'Balance Sheet'!D20</f>
        <v>-2050.3400000000038</v>
      </c>
      <c r="F12" s="75">
        <f>'Balance Sheet'!F20-'Balance Sheet'!E20</f>
        <v>10344.520000000004</v>
      </c>
      <c r="G12" s="94">
        <f>'Balance Sheet'!G20-'Balance Sheet'!F20</f>
        <v>3328.1123182271695</v>
      </c>
      <c r="H12" s="94">
        <f>'Balance Sheet'!H20-'Balance Sheet'!G20</f>
        <v>4722.1760086404465</v>
      </c>
      <c r="I12" s="94">
        <f>'Balance Sheet'!I20-'Balance Sheet'!H20</f>
        <v>5147.1718494180896</v>
      </c>
      <c r="J12" s="94">
        <f>'Balance Sheet'!J20-'Balance Sheet'!I20</f>
        <v>5610.4173158657286</v>
      </c>
      <c r="K12" s="94">
        <f>'Balance Sheet'!K20-'Balance Sheet'!J20</f>
        <v>6115.3548742936255</v>
      </c>
    </row>
    <row r="13" spans="2:11" x14ac:dyDescent="0.25">
      <c r="B13" s="64" t="s">
        <v>65</v>
      </c>
      <c r="C13" s="9"/>
      <c r="D13" s="175">
        <f>SUM(D10:D12)</f>
        <v>-4835.4200000000019</v>
      </c>
      <c r="E13" s="175">
        <f t="shared" ref="E13:K13" si="3">SUM(E10:E12)</f>
        <v>-3296.7700000000013</v>
      </c>
      <c r="F13" s="175">
        <f t="shared" si="3"/>
        <v>3052.2500000000018</v>
      </c>
      <c r="G13" s="176">
        <f t="shared" si="3"/>
        <v>-1001.5875924648644</v>
      </c>
      <c r="H13" s="176">
        <f t="shared" si="3"/>
        <v>-79.406783321837793</v>
      </c>
      <c r="I13" s="176">
        <f t="shared" si="3"/>
        <v>-86.553393820806377</v>
      </c>
      <c r="J13" s="176">
        <f t="shared" si="3"/>
        <v>-94.343199264660143</v>
      </c>
      <c r="K13" s="176">
        <f t="shared" si="3"/>
        <v>-102.83408719850286</v>
      </c>
    </row>
    <row r="14" spans="2:11" x14ac:dyDescent="0.25">
      <c r="B14" s="18" t="s">
        <v>288</v>
      </c>
      <c r="C14" t="s">
        <v>66</v>
      </c>
      <c r="D14" s="168">
        <f>-(('Balance Sheet'!D6+'Balance Sheet'!D10+'Balance Sheet'!D11)-('BS_L&amp;T'!E36+'BS_L&amp;T'!E40+'BS_L&amp;T'!E41))</f>
        <v>3972.2699999999895</v>
      </c>
      <c r="E14" s="168">
        <f>-(('Balance Sheet'!E6+'Balance Sheet'!E10+'Balance Sheet'!E11)-('Balance Sheet'!D6+'Balance Sheet'!D10+'Balance Sheet'!D11))</f>
        <v>-7079.4599999999919</v>
      </c>
      <c r="F14" s="168">
        <f>-(('Balance Sheet'!F6+'Balance Sheet'!F10+'Balance Sheet'!F11)-('Balance Sheet'!E6+'Balance Sheet'!E10+'Balance Sheet'!E11))</f>
        <v>-16848.72</v>
      </c>
      <c r="G14" s="169">
        <f>-(('Balance Sheet'!G6+'Balance Sheet'!G10+'Balance Sheet'!G11)-('Balance Sheet'!F6+'Balance Sheet'!F10+'Balance Sheet'!F11))</f>
        <v>-9301.1147999999957</v>
      </c>
      <c r="H14" s="169">
        <f>-(('Balance Sheet'!H6+'Balance Sheet'!H10+'Balance Sheet'!H11)-('Balance Sheet'!G6+'Balance Sheet'!G10+'Balance Sheet'!G11))</f>
        <v>-10138.215131999998</v>
      </c>
      <c r="I14" s="169">
        <f>-(('Balance Sheet'!I6+'Balance Sheet'!I10+'Balance Sheet'!I11)-('Balance Sheet'!H6+'Balance Sheet'!H10+'Balance Sheet'!H11))</f>
        <v>-11050.654493880022</v>
      </c>
      <c r="J14" s="169">
        <f>-(('Balance Sheet'!J6+'Balance Sheet'!J10+'Balance Sheet'!J11)-('Balance Sheet'!I6+'Balance Sheet'!I10+'Balance Sheet'!I11))</f>
        <v>-12045.213398329186</v>
      </c>
      <c r="K14" s="169">
        <f>-(('Balance Sheet'!K6+'Balance Sheet'!K10+'Balance Sheet'!K11)-('Balance Sheet'!J6+'Balance Sheet'!J10+'Balance Sheet'!J11))</f>
        <v>-13129.28260417885</v>
      </c>
    </row>
    <row r="15" spans="2:11" x14ac:dyDescent="0.25">
      <c r="B15" s="18" t="s">
        <v>289</v>
      </c>
      <c r="C15" t="s">
        <v>66</v>
      </c>
      <c r="D15" s="168">
        <f>('Balance Sheet'!D19+'Balance Sheet'!D21+'Balance Sheet'!D22)-('BS_L&amp;T'!E17+'BS_L&amp;T'!E19+'BS_L&amp;T'!E20)</f>
        <v>8257.9499999999971</v>
      </c>
      <c r="E15" s="168">
        <f>('Balance Sheet'!E19+'Balance Sheet'!E21+'Balance Sheet'!E22)-('Balance Sheet'!D19+'Balance Sheet'!D21+'Balance Sheet'!D22)</f>
        <v>8132.3499999999985</v>
      </c>
      <c r="F15" s="168">
        <f>('Balance Sheet'!F19+'Balance Sheet'!F21+'Balance Sheet'!F22)-('Balance Sheet'!E19+'Balance Sheet'!E21+'Balance Sheet'!E22)</f>
        <v>7931.830000000009</v>
      </c>
      <c r="G15" s="169">
        <f>('Balance Sheet'!G19+'Balance Sheet'!G21+'Balance Sheet'!G22)-('Balance Sheet'!F19+'Balance Sheet'!F21+'Balance Sheet'!F22)</f>
        <v>-4240.4300054233754</v>
      </c>
      <c r="H15" s="169">
        <f>('Balance Sheet'!H19+'Balance Sheet'!H21+'Balance Sheet'!H22)-('Balance Sheet'!G19+'Balance Sheet'!G21+'Balance Sheet'!G22)</f>
        <v>6210.4022995119158</v>
      </c>
      <c r="I15" s="169">
        <f>('Balance Sheet'!I19+'Balance Sheet'!I21+'Balance Sheet'!I22)-('Balance Sheet'!H19+'Balance Sheet'!H21+'Balance Sheet'!H22)</f>
        <v>6769.338506467946</v>
      </c>
      <c r="J15" s="169">
        <f>('Balance Sheet'!J19+'Balance Sheet'!J21+'Balance Sheet'!J22)-('Balance Sheet'!I19+'Balance Sheet'!I21+'Balance Sheet'!I22)</f>
        <v>7378.5789720501052</v>
      </c>
      <c r="K15" s="169">
        <f>('Balance Sheet'!K19+'Balance Sheet'!K21+'Balance Sheet'!K22)-('Balance Sheet'!J19+'Balance Sheet'!J21+'Balance Sheet'!J22)</f>
        <v>8042.6510795345821</v>
      </c>
    </row>
    <row r="16" spans="2:11" x14ac:dyDescent="0.25">
      <c r="B16" s="64" t="s">
        <v>67</v>
      </c>
      <c r="C16" s="9" t="s">
        <v>66</v>
      </c>
      <c r="D16" s="175">
        <f>SUM(D14:D15)</f>
        <v>12230.219999999987</v>
      </c>
      <c r="E16" s="175">
        <f t="shared" ref="E16:K16" si="4">SUM(E14:E15)</f>
        <v>1052.8900000000067</v>
      </c>
      <c r="F16" s="175">
        <f t="shared" si="4"/>
        <v>-8916.8899999999921</v>
      </c>
      <c r="G16" s="176">
        <f t="shared" si="4"/>
        <v>-13541.544805423371</v>
      </c>
      <c r="H16" s="176">
        <f t="shared" si="4"/>
        <v>-3927.8128324880818</v>
      </c>
      <c r="I16" s="176">
        <f t="shared" si="4"/>
        <v>-4281.3159874120756</v>
      </c>
      <c r="J16" s="176">
        <f t="shared" si="4"/>
        <v>-4666.6344262790808</v>
      </c>
      <c r="K16" s="176">
        <f t="shared" si="4"/>
        <v>-5086.6315246442682</v>
      </c>
    </row>
    <row r="17" spans="2:11" x14ac:dyDescent="0.25">
      <c r="B17" s="65" t="s">
        <v>43</v>
      </c>
      <c r="C17" t="s">
        <v>66</v>
      </c>
      <c r="D17" s="177">
        <f>-('Balance Sheet'!D14-'BS_L&amp;T'!E29)-'P&amp;L'!D11</f>
        <v>-2503.6100000000006</v>
      </c>
      <c r="E17" s="177">
        <f>-('Balance Sheet'!E14-'Balance Sheet'!D14)-'P&amp;L'!E11</f>
        <v>-1892.7599999999998</v>
      </c>
      <c r="F17" s="177">
        <f>-('Balance Sheet'!F14-'Balance Sheet'!E14)-'P&amp;L'!F11</f>
        <v>-3304.7999999999997</v>
      </c>
      <c r="G17" s="178">
        <f>-('Balance Sheet'!G14-'Balance Sheet'!F14)-'P&amp;L'!G11</f>
        <v>-2890.2192288555502</v>
      </c>
      <c r="H17" s="178">
        <f>-('Balance Sheet'!H14-'Balance Sheet'!G14)-'P&amp;L'!H11</f>
        <v>-3146.3307042048855</v>
      </c>
      <c r="I17" s="178">
        <f>-('Balance Sheet'!I14-'Balance Sheet'!H14)-'P&amp;L'!I11</f>
        <v>-3424.647380121552</v>
      </c>
      <c r="J17" s="178">
        <f>-('Balance Sheet'!J14-'Balance Sheet'!I14)-'P&amp;L'!J11</f>
        <v>-3726.9896567877036</v>
      </c>
      <c r="K17" s="178">
        <f>-('Balance Sheet'!K14-'Balance Sheet'!J14)-'P&amp;L'!K11</f>
        <v>-4055.3042384926994</v>
      </c>
    </row>
    <row r="18" spans="2:11" x14ac:dyDescent="0.25">
      <c r="B18" s="67" t="s">
        <v>68</v>
      </c>
      <c r="C18" s="68"/>
      <c r="D18" s="179">
        <f>SUM(D9,D13,D16,D17)</f>
        <v>17924.616164474101</v>
      </c>
      <c r="E18" s="179">
        <f t="shared" ref="E18:K18" si="5">SUM(E9,E13,E16,E17)</f>
        <v>10455.36233344336</v>
      </c>
      <c r="F18" s="179">
        <f t="shared" si="5"/>
        <v>255.40701508117991</v>
      </c>
      <c r="G18" s="180">
        <f t="shared" si="5"/>
        <v>3099.5169141811989</v>
      </c>
      <c r="H18" s="180">
        <f t="shared" si="5"/>
        <v>15159.725818593461</v>
      </c>
      <c r="I18" s="180">
        <f t="shared" si="5"/>
        <v>16455.999613048545</v>
      </c>
      <c r="J18" s="180">
        <f t="shared" si="5"/>
        <v>17864.12457975341</v>
      </c>
      <c r="K18" s="180">
        <f t="shared" si="5"/>
        <v>19393.916014441482</v>
      </c>
    </row>
    <row r="19" spans="2:11" x14ac:dyDescent="0.25">
      <c r="B19" s="18" t="s">
        <v>290</v>
      </c>
      <c r="C19" t="s">
        <v>59</v>
      </c>
      <c r="D19" s="63">
        <f>-'P&amp;L'!D13</f>
        <v>-2405.83</v>
      </c>
      <c r="E19" s="63">
        <f>-'P&amp;L'!E13</f>
        <v>-2195.46</v>
      </c>
      <c r="F19" s="63">
        <f>-'P&amp;L'!F13</f>
        <v>-1675.42</v>
      </c>
      <c r="G19" s="70">
        <f>-'P&amp;L'!G13</f>
        <v>-1539.5801342630268</v>
      </c>
      <c r="H19" s="70">
        <f>-'P&amp;L'!H13</f>
        <v>-1414.7539063741388</v>
      </c>
      <c r="I19" s="70">
        <f>-'P&amp;L'!I13</f>
        <v>-1300.0483515325338</v>
      </c>
      <c r="J19" s="70">
        <f>-'P&amp;L'!J13</f>
        <v>-1194.6429048243933</v>
      </c>
      <c r="K19" s="70">
        <f>-'P&amp;L'!K13</f>
        <v>-1097.7835311778013</v>
      </c>
    </row>
    <row r="20" spans="2:11" x14ac:dyDescent="0.25">
      <c r="B20" s="18" t="s">
        <v>69</v>
      </c>
      <c r="C20" t="s">
        <v>59</v>
      </c>
      <c r="D20" s="63">
        <f>-(D5+'P&amp;L'!D15)</f>
        <v>427.74383552589097</v>
      </c>
      <c r="E20" s="63">
        <f>-(E5+'P&amp;L'!E15)</f>
        <v>437.19766655664989</v>
      </c>
      <c r="F20" s="63">
        <f>-(F5+'P&amp;L'!F15)</f>
        <v>523.10298491886078</v>
      </c>
      <c r="G20" s="70">
        <f>-(G5+'P&amp;L'!G15)</f>
        <v>230.93702013945358</v>
      </c>
      <c r="H20" s="70">
        <f>-(H5+'P&amp;L'!H15)</f>
        <v>212.21308595612072</v>
      </c>
      <c r="I20" s="70">
        <f>-(I5+'P&amp;L'!I15)</f>
        <v>195.00725272987984</v>
      </c>
      <c r="J20" s="70">
        <f>-(J5+'P&amp;L'!J15)</f>
        <v>179.19643572365931</v>
      </c>
      <c r="K20" s="70">
        <f>-(K5+'P&amp;L'!K15)</f>
        <v>164.6675296766698</v>
      </c>
    </row>
    <row r="21" spans="2:11" x14ac:dyDescent="0.25">
      <c r="B21" t="s">
        <v>291</v>
      </c>
      <c r="C21" t="s">
        <v>66</v>
      </c>
      <c r="D21" s="63">
        <f>-('Balance Sheet'!D15-SUM('BS_L&amp;T'!E30:E33))</f>
        <v>-1976.9400000000023</v>
      </c>
      <c r="E21" s="63">
        <f>-('Balance Sheet'!E15-'Balance Sheet'!D15)</f>
        <v>-3300.6100000000006</v>
      </c>
      <c r="F21" s="63">
        <f>-('Balance Sheet'!F15-'Balance Sheet'!E15)</f>
        <v>6936.2100000000064</v>
      </c>
      <c r="G21" s="70">
        <f>-('Balance Sheet'!G15-'Balance Sheet'!F15)</f>
        <v>-3523.9366666666683</v>
      </c>
      <c r="H21" s="70">
        <f>-('Balance Sheet'!H15-'Balance Sheet'!G15)</f>
        <v>-3883.7311308116841</v>
      </c>
      <c r="I21" s="70">
        <f>-('Balance Sheet'!I15-'Balance Sheet'!H15)</f>
        <v>-4280.2606639078222</v>
      </c>
      <c r="J21" s="70">
        <f>-('Balance Sheet'!J15-'Balance Sheet'!I15)</f>
        <v>-4717.2759220249354</v>
      </c>
      <c r="K21" s="70">
        <f>-('Balance Sheet'!K15-'Balance Sheet'!J15)</f>
        <v>-5198.9105037822155</v>
      </c>
    </row>
    <row r="22" spans="2:11" x14ac:dyDescent="0.25">
      <c r="B22" t="s">
        <v>70</v>
      </c>
      <c r="C22" t="s">
        <v>66</v>
      </c>
      <c r="D22" s="63">
        <f>('Balance Sheet'!D25+'Balance Sheet'!D27)-('BS_L&amp;T'!E11+'BS_L&amp;T'!E13)</f>
        <v>2585.4399999999987</v>
      </c>
      <c r="E22" s="63">
        <f>('Balance Sheet'!E25+'Balance Sheet'!E27)-('Balance Sheet'!D25+'Balance Sheet'!D27)</f>
        <v>-2496.1399999999994</v>
      </c>
      <c r="F22" s="63">
        <f>('Balance Sheet'!F25+'Balance Sheet'!F27)-('Balance Sheet'!E25+'Balance Sheet'!E27)</f>
        <v>804.88000000000102</v>
      </c>
      <c r="G22" s="70">
        <f>('Balance Sheet'!G25+'Balance Sheet'!G27)-('Balance Sheet'!F25+'Balance Sheet'!F27)</f>
        <v>-832.13870170075461</v>
      </c>
      <c r="H22" s="70">
        <f>('Balance Sheet'!H25+'Balance Sheet'!H27)-('Balance Sheet'!G25+'Balance Sheet'!G27)</f>
        <v>-659.45320255302067</v>
      </c>
      <c r="I22" s="70">
        <f>('Balance Sheet'!I25+'Balance Sheet'!I27)-('Balance Sheet'!H25+'Balance Sheet'!H27)</f>
        <v>-718.80399078279333</v>
      </c>
      <c r="J22" s="70">
        <f>('Balance Sheet'!J25+'Balance Sheet'!J27)-('Balance Sheet'!I25+'Balance Sheet'!I27)</f>
        <v>-783.49634995324323</v>
      </c>
      <c r="K22" s="70">
        <f>('Balance Sheet'!K25+'Balance Sheet'!K27)-('Balance Sheet'!J25+'Balance Sheet'!J27)</f>
        <v>-854.01102144903598</v>
      </c>
    </row>
    <row r="23" spans="2:11" x14ac:dyDescent="0.25">
      <c r="B23" t="s">
        <v>77</v>
      </c>
      <c r="C23" t="s">
        <v>66</v>
      </c>
      <c r="D23" s="6">
        <f>'Balance Sheet'!D28-'BS_L&amp;T'!E14</f>
        <v>60.759999999999991</v>
      </c>
      <c r="E23" s="6">
        <f>'Balance Sheet'!E28-'Balance Sheet'!D28</f>
        <v>67.990000000000009</v>
      </c>
      <c r="F23" s="6">
        <f>'Balance Sheet'!F28-'Balance Sheet'!E28</f>
        <v>3.6000000000000227</v>
      </c>
      <c r="G23" s="69">
        <f>'Balance Sheet'!G28-'Balance Sheet'!F28</f>
        <v>118.84259731715008</v>
      </c>
      <c r="H23" s="69">
        <f>'Balance Sheet'!H28-'Balance Sheet'!G28</f>
        <v>79.934633758543555</v>
      </c>
      <c r="I23" s="69">
        <f>'Balance Sheet'!I28-'Balance Sheet'!H28</f>
        <v>87.128750796812369</v>
      </c>
      <c r="J23" s="69">
        <f>'Balance Sheet'!J28-'Balance Sheet'!I28</f>
        <v>94.970338368525745</v>
      </c>
      <c r="K23" s="69">
        <f>'Balance Sheet'!K28-'Balance Sheet'!J28</f>
        <v>103.51766882169318</v>
      </c>
    </row>
    <row r="24" spans="2:11" x14ac:dyDescent="0.25">
      <c r="B24" t="s">
        <v>71</v>
      </c>
      <c r="C24" t="s">
        <v>72</v>
      </c>
      <c r="D24" s="63">
        <f>('Balance Sheet'!D30-'BS_L&amp;T'!E5)-('P&amp;L'!D16*0.4)</f>
        <v>-3802.5219999999977</v>
      </c>
      <c r="E24" s="63">
        <f>('Balance Sheet'!E30-'Balance Sheet'!D30)-('P&amp;L'!E16*0.4)</f>
        <v>-4348.1780000000026</v>
      </c>
      <c r="F24" s="63">
        <f>('Balance Sheet'!F30-'Balance Sheet'!E30)-('P&amp;L'!F16*0.4)</f>
        <v>-2514.762000000012</v>
      </c>
      <c r="G24" s="70">
        <f>('Balance Sheet'!G30-'Balance Sheet'!F30)-('P&amp;L'!G16*0.4)</f>
        <v>-2807.8578518082268</v>
      </c>
      <c r="H24" s="70">
        <f>('Balance Sheet'!H30-'Balance Sheet'!G30)-('P&amp;L'!H16*0.4)</f>
        <v>-3085.5777949472404</v>
      </c>
      <c r="I24" s="70">
        <f>('Balance Sheet'!I30-'Balance Sheet'!H30)-('P&amp;L'!I16*0.4)</f>
        <v>-3384.5236010961635</v>
      </c>
      <c r="J24" s="70">
        <f>('Balance Sheet'!J30-'Balance Sheet'!I30)-('P&amp;L'!J16*0.4)</f>
        <v>-3706.7719000075831</v>
      </c>
      <c r="K24" s="70">
        <f>('Balance Sheet'!K30-'Balance Sheet'!J30)-('P&amp;L'!K16*0.4)</f>
        <v>-4054.5615925959646</v>
      </c>
    </row>
    <row r="25" spans="2:11" x14ac:dyDescent="0.25">
      <c r="B25" t="s">
        <v>292</v>
      </c>
      <c r="C25" t="s">
        <v>72</v>
      </c>
      <c r="D25" s="63">
        <f>('Balance Sheet'!D31-'BS_L&amp;T'!E8)-('P&amp;L'!D16*0.6)</f>
        <v>-12613.717999999997</v>
      </c>
      <c r="E25" s="63">
        <f>('Balance Sheet'!E31-'Balance Sheet'!D31)-('P&amp;L'!E16*0.6)</f>
        <v>957.25799999999981</v>
      </c>
      <c r="F25" s="63">
        <f>('Balance Sheet'!F31-'Balance Sheet'!E31)-('P&amp;L'!F16*0.6)</f>
        <v>-1135.3080000000168</v>
      </c>
      <c r="G25" s="70">
        <f>('Balance Sheet'!G31-'Balance Sheet'!F31)-('P&amp;L'!G16*0.6)</f>
        <v>0</v>
      </c>
      <c r="H25" s="70">
        <f>('Balance Sheet'!H31-'Balance Sheet'!G31)-('P&amp;L'!H16*0.6)</f>
        <v>0</v>
      </c>
      <c r="I25" s="70">
        <f>('Balance Sheet'!I31-'Balance Sheet'!H31)-('P&amp;L'!I16*0.6)</f>
        <v>0</v>
      </c>
      <c r="J25" s="70">
        <f>('Balance Sheet'!J31-'Balance Sheet'!I31)-('P&amp;L'!J16*0.6)</f>
        <v>0</v>
      </c>
      <c r="K25" s="70">
        <f>('Balance Sheet'!K31-'Balance Sheet'!J31)-('P&amp;L'!K16*0.6)</f>
        <v>0</v>
      </c>
    </row>
    <row r="26" spans="2:11" x14ac:dyDescent="0.25">
      <c r="B26" s="67" t="s">
        <v>73</v>
      </c>
      <c r="C26" s="68"/>
      <c r="D26" s="179">
        <f>SUM(D18:D25)</f>
        <v>199.549999999992</v>
      </c>
      <c r="E26" s="179">
        <f t="shared" ref="E26:K26" si="6">SUM(E18:E25)</f>
        <v>-422.57999999999356</v>
      </c>
      <c r="F26" s="179">
        <f t="shared" si="6"/>
        <v>3197.7100000000196</v>
      </c>
      <c r="G26" s="180">
        <f t="shared" si="6"/>
        <v>-5254.2168228008741</v>
      </c>
      <c r="H26" s="180">
        <f t="shared" si="6"/>
        <v>6408.35750362204</v>
      </c>
      <c r="I26" s="180">
        <f t="shared" si="6"/>
        <v>7054.4990092559237</v>
      </c>
      <c r="J26" s="180">
        <f t="shared" si="6"/>
        <v>7736.1042770354416</v>
      </c>
      <c r="K26" s="180">
        <f t="shared" si="6"/>
        <v>8456.8345639348281</v>
      </c>
    </row>
    <row r="27" spans="2:11" x14ac:dyDescent="0.25">
      <c r="D27" s="75"/>
      <c r="E27" s="75"/>
      <c r="F27" s="75"/>
      <c r="G27" s="94"/>
      <c r="H27" s="94"/>
      <c r="I27" s="94"/>
      <c r="J27" s="94"/>
      <c r="K27" s="94"/>
    </row>
    <row r="28" spans="2:11" x14ac:dyDescent="0.25">
      <c r="B28" s="74" t="s">
        <v>74</v>
      </c>
      <c r="C28" s="74"/>
      <c r="D28" s="124">
        <f>'BS_L&amp;T'!E39</f>
        <v>4569.6400000000003</v>
      </c>
      <c r="E28" s="124">
        <f>'BS_L&amp;T'!D39</f>
        <v>4769.1899999999996</v>
      </c>
      <c r="F28" s="124">
        <f>'BS_L&amp;T'!C39</f>
        <v>4346.6099999999997</v>
      </c>
      <c r="G28" s="181">
        <f>F29</f>
        <v>7544.3200000000197</v>
      </c>
      <c r="H28" s="181">
        <f>G29</f>
        <v>2290.1031771991456</v>
      </c>
      <c r="I28" s="181">
        <f t="shared" ref="I28:K28" si="7">H29</f>
        <v>8698.4606808211865</v>
      </c>
      <c r="J28" s="181">
        <f t="shared" si="7"/>
        <v>15752.95969007711</v>
      </c>
      <c r="K28" s="181">
        <f t="shared" si="7"/>
        <v>23489.063967112554</v>
      </c>
    </row>
    <row r="29" spans="2:11" x14ac:dyDescent="0.25">
      <c r="B29" s="74" t="s">
        <v>75</v>
      </c>
      <c r="C29" s="74"/>
      <c r="D29" s="124">
        <f>D26+D28</f>
        <v>4769.1899999999923</v>
      </c>
      <c r="E29" s="124">
        <f t="shared" ref="E29:K29" si="8">E26+E28</f>
        <v>4346.610000000006</v>
      </c>
      <c r="F29" s="124">
        <f t="shared" si="8"/>
        <v>7544.3200000000197</v>
      </c>
      <c r="G29" s="181">
        <f t="shared" si="8"/>
        <v>2290.1031771991456</v>
      </c>
      <c r="H29" s="181">
        <f t="shared" si="8"/>
        <v>8698.4606808211865</v>
      </c>
      <c r="I29" s="181">
        <f t="shared" si="8"/>
        <v>15752.95969007711</v>
      </c>
      <c r="J29" s="181">
        <f t="shared" si="8"/>
        <v>23489.063967112554</v>
      </c>
      <c r="K29" s="181">
        <f t="shared" si="8"/>
        <v>31945.89853104738</v>
      </c>
    </row>
    <row r="30" spans="2:11" x14ac:dyDescent="0.25">
      <c r="D30" s="80"/>
      <c r="E30" s="80"/>
      <c r="F30" s="80"/>
      <c r="G30" s="80"/>
      <c r="H30" s="80"/>
      <c r="I30" s="80"/>
      <c r="J30" s="80"/>
      <c r="K30" s="80"/>
    </row>
    <row r="31" spans="2:11" x14ac:dyDescent="0.25">
      <c r="B31" s="190" t="s">
        <v>58</v>
      </c>
      <c r="C31" s="190"/>
      <c r="D31" s="191">
        <f>'Balance Sheet'!D9</f>
        <v>4769.1899999999923</v>
      </c>
      <c r="E31" s="191">
        <f>'Balance Sheet'!E9</f>
        <v>4346.610000000006</v>
      </c>
      <c r="F31" s="191">
        <f>'Balance Sheet'!F9</f>
        <v>7544.3200000000197</v>
      </c>
      <c r="G31" s="191">
        <f>'Balance Sheet'!G9</f>
        <v>2290.1031771991456</v>
      </c>
      <c r="H31" s="191">
        <f>'Balance Sheet'!H9</f>
        <v>8698.4606808211865</v>
      </c>
      <c r="I31" s="191">
        <f>'Balance Sheet'!I9</f>
        <v>15752.95969007711</v>
      </c>
      <c r="J31" s="191">
        <f>'Balance Sheet'!J9</f>
        <v>23489.063967112554</v>
      </c>
      <c r="K31" s="191">
        <f>'Balance Sheet'!K9</f>
        <v>31945.89853104738</v>
      </c>
    </row>
    <row r="32" spans="2:11" x14ac:dyDescent="0.25">
      <c r="B32" s="123" t="s">
        <v>76</v>
      </c>
      <c r="C32" s="123"/>
      <c r="D32" s="188">
        <f>D29-D31</f>
        <v>0</v>
      </c>
      <c r="E32" s="188">
        <f t="shared" ref="E32:K32" si="9">E29-E31</f>
        <v>0</v>
      </c>
      <c r="F32" s="188">
        <f t="shared" si="9"/>
        <v>0</v>
      </c>
      <c r="G32" s="188">
        <f t="shared" si="9"/>
        <v>0</v>
      </c>
      <c r="H32" s="188">
        <f t="shared" si="9"/>
        <v>0</v>
      </c>
      <c r="I32" s="188">
        <f t="shared" si="9"/>
        <v>0</v>
      </c>
      <c r="J32" s="188">
        <f t="shared" si="9"/>
        <v>0</v>
      </c>
      <c r="K32" s="188">
        <f t="shared" si="9"/>
        <v>0</v>
      </c>
    </row>
  </sheetData>
  <sheetProtection algorithmName="SHA-512" hashValue="80rI9mZv7gk/WYFwzkZxWv3HdPEs4n6KxZ54O2N4IlA5EVckK+fgCx/LuVd5e085u8s24LtlLlveEX7KhXorPQ==" saltValue="Wwa4BuATMCygbbYKDtct/A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101C9-2B4E-468B-B065-8077DC1B294E}">
  <sheetPr codeName="Sheet7">
    <tabColor rgb="FF0070C0"/>
  </sheetPr>
  <dimension ref="B1:K39"/>
  <sheetViews>
    <sheetView showGridLines="0" workbookViewId="0">
      <pane ySplit="3" topLeftCell="A4" activePane="bottomLeft" state="frozen"/>
      <selection pane="bottomLeft"/>
    </sheetView>
  </sheetViews>
  <sheetFormatPr defaultRowHeight="15" x14ac:dyDescent="0.25"/>
  <cols>
    <col min="1" max="1" width="2.42578125" customWidth="1"/>
    <col min="2" max="2" width="47.7109375" bestFit="1" customWidth="1"/>
    <col min="3" max="11" width="10.7109375" customWidth="1"/>
  </cols>
  <sheetData>
    <row r="1" spans="2:11" ht="15.75" x14ac:dyDescent="0.25">
      <c r="B1" s="7" t="s">
        <v>294</v>
      </c>
    </row>
    <row r="2" spans="2:11" ht="15.75" x14ac:dyDescent="0.25">
      <c r="B2" s="7"/>
    </row>
    <row r="3" spans="2:11" ht="42" customHeight="1" thickBot="1" x14ac:dyDescent="0.3">
      <c r="B3" s="33" t="s">
        <v>276</v>
      </c>
      <c r="C3" s="34"/>
      <c r="D3" s="85" t="s">
        <v>266</v>
      </c>
      <c r="E3" s="85" t="s">
        <v>267</v>
      </c>
      <c r="F3" s="85" t="s">
        <v>268</v>
      </c>
      <c r="G3" s="84" t="s">
        <v>269</v>
      </c>
      <c r="H3" s="84" t="s">
        <v>270</v>
      </c>
      <c r="I3" s="84" t="s">
        <v>271</v>
      </c>
      <c r="J3" s="84" t="s">
        <v>272</v>
      </c>
      <c r="K3" s="84" t="s">
        <v>273</v>
      </c>
    </row>
    <row r="4" spans="2:11" x14ac:dyDescent="0.25">
      <c r="B4" s="120" t="s">
        <v>125</v>
      </c>
      <c r="C4" s="74"/>
      <c r="D4" s="119"/>
      <c r="E4" s="119"/>
      <c r="F4" s="119"/>
      <c r="G4" s="119"/>
      <c r="H4" s="119"/>
      <c r="I4" s="119"/>
      <c r="J4" s="119"/>
      <c r="K4" s="119"/>
    </row>
    <row r="5" spans="2:11" x14ac:dyDescent="0.25">
      <c r="B5" t="s">
        <v>10</v>
      </c>
      <c r="C5" t="s">
        <v>59</v>
      </c>
      <c r="D5" s="63">
        <f>'P&amp;L'!D12</f>
        <v>13722.140000000005</v>
      </c>
      <c r="E5" s="63">
        <f>'P&amp;L'!E12</f>
        <v>15769.220000000005</v>
      </c>
      <c r="F5" s="63">
        <f>'P&amp;L'!F12</f>
        <v>10816.64000000003</v>
      </c>
      <c r="G5" s="70">
        <f>'P&amp;L'!G12</f>
        <v>22185.593750499982</v>
      </c>
      <c r="H5" s="70">
        <f>'P&amp;L'!H12</f>
        <v>24102.825928045015</v>
      </c>
      <c r="I5" s="70">
        <f>'P&amp;L'!I12</f>
        <v>26186.251300769032</v>
      </c>
      <c r="J5" s="70">
        <f>'P&amp;L'!J12</f>
        <v>28450.318640174257</v>
      </c>
      <c r="K5" s="70">
        <f>'P&amp;L'!K12</f>
        <v>30910.736417912831</v>
      </c>
    </row>
    <row r="6" spans="2:11" ht="6.75" customHeight="1" x14ac:dyDescent="0.25">
      <c r="D6" s="63"/>
      <c r="E6" s="63"/>
      <c r="F6" s="63"/>
      <c r="G6" s="70"/>
      <c r="H6" s="70"/>
      <c r="I6" s="70"/>
      <c r="J6" s="70"/>
      <c r="K6" s="70"/>
    </row>
    <row r="7" spans="2:11" x14ac:dyDescent="0.25">
      <c r="B7" t="s">
        <v>1</v>
      </c>
      <c r="C7" t="s">
        <v>59</v>
      </c>
      <c r="D7" s="63">
        <f>'P&amp;L'!D11</f>
        <v>1751.01</v>
      </c>
      <c r="E7" s="63">
        <f>'P&amp;L'!E11</f>
        <v>1963.02</v>
      </c>
      <c r="F7" s="63">
        <f>'P&amp;L'!F11</f>
        <v>1985.4</v>
      </c>
      <c r="G7" s="70">
        <f>'P&amp;L'!G11</f>
        <v>1675.1138530000003</v>
      </c>
      <c r="H7" s="70">
        <f>'P&amp;L'!H11</f>
        <v>1825.8740997700004</v>
      </c>
      <c r="I7" s="70">
        <f>'P&amp;L'!I11</f>
        <v>1990.2027687493005</v>
      </c>
      <c r="J7" s="70">
        <f>'P&amp;L'!J11</f>
        <v>2169.3210179367375</v>
      </c>
      <c r="K7" s="70">
        <f>'P&amp;L'!K11</f>
        <v>2364.5599095510443</v>
      </c>
    </row>
    <row r="8" spans="2:11" x14ac:dyDescent="0.25">
      <c r="B8" t="s">
        <v>274</v>
      </c>
      <c r="C8" t="s">
        <v>59</v>
      </c>
      <c r="D8" s="63">
        <f>-'P&amp;L'!D13</f>
        <v>-2405.83</v>
      </c>
      <c r="E8" s="63">
        <f>-'P&amp;L'!E13</f>
        <v>-2195.46</v>
      </c>
      <c r="F8" s="63">
        <f>-'P&amp;L'!F13</f>
        <v>-1675.42</v>
      </c>
      <c r="G8" s="70">
        <f>-'P&amp;L'!G13</f>
        <v>-1539.5801342630268</v>
      </c>
      <c r="H8" s="70">
        <f>-'P&amp;L'!H13</f>
        <v>-1414.7539063741388</v>
      </c>
      <c r="I8" s="70">
        <f>-'P&amp;L'!I13</f>
        <v>-1300.0483515325338</v>
      </c>
      <c r="J8" s="70">
        <f>-'P&amp;L'!J13</f>
        <v>-1194.6429048243933</v>
      </c>
      <c r="K8" s="70">
        <f>-'P&amp;L'!K13</f>
        <v>-1097.7835311778013</v>
      </c>
    </row>
    <row r="9" spans="2:11" x14ac:dyDescent="0.25">
      <c r="B9" t="s">
        <v>2</v>
      </c>
      <c r="C9" t="s">
        <v>59</v>
      </c>
      <c r="D9" s="63">
        <f>-'P&amp;L'!D15</f>
        <v>-2011.98</v>
      </c>
      <c r="E9" s="63">
        <f>-'P&amp;L'!E15</f>
        <v>-2703.04</v>
      </c>
      <c r="F9" s="63">
        <f>-'P&amp;L'!F15</f>
        <v>-2854.09</v>
      </c>
      <c r="G9" s="70">
        <f>-'P&amp;L'!G15</f>
        <v>-3096.9020424355435</v>
      </c>
      <c r="H9" s="70">
        <f>-'P&amp;L'!H15</f>
        <v>-3403.2108032506312</v>
      </c>
      <c r="I9" s="70">
        <f>-'P&amp;L'!I15</f>
        <v>-3732.9304423854746</v>
      </c>
      <c r="J9" s="70">
        <f>-'P&amp;L'!J15</f>
        <v>-4088.3513603024794</v>
      </c>
      <c r="K9" s="70">
        <f>-'P&amp;L'!K15</f>
        <v>-4471.9429330102548</v>
      </c>
    </row>
    <row r="10" spans="2:11" ht="6.75" customHeight="1" x14ac:dyDescent="0.25">
      <c r="D10" s="6"/>
      <c r="E10" s="6"/>
      <c r="F10" s="6"/>
      <c r="G10" s="69"/>
      <c r="H10" s="69"/>
      <c r="I10" s="69"/>
      <c r="J10" s="69"/>
      <c r="K10" s="69"/>
    </row>
    <row r="11" spans="2:11" x14ac:dyDescent="0.25">
      <c r="B11" s="74" t="s">
        <v>126</v>
      </c>
      <c r="G11" s="61"/>
      <c r="H11" s="61"/>
      <c r="I11" s="61"/>
      <c r="J11" s="61"/>
      <c r="K11" s="61"/>
    </row>
    <row r="12" spans="2:11" x14ac:dyDescent="0.25">
      <c r="B12" s="121" t="s">
        <v>27</v>
      </c>
      <c r="C12" t="s">
        <v>66</v>
      </c>
      <c r="D12" s="63">
        <f>-('Balance Sheet'!D8-'BS_L&amp;T'!E38)</f>
        <v>-3808.9700000000012</v>
      </c>
      <c r="E12" s="63">
        <f>-('Balance Sheet'!E8-'Balance Sheet'!D8)</f>
        <v>-1368.6299999999974</v>
      </c>
      <c r="F12" s="63">
        <f>-('Balance Sheet'!F8-'Balance Sheet'!E8)</f>
        <v>-7000.1200000000026</v>
      </c>
      <c r="G12" s="70">
        <f>-('Balance Sheet'!G8-'Balance Sheet'!F8)</f>
        <v>-4079.726999999999</v>
      </c>
      <c r="H12" s="70">
        <f>-('Balance Sheet'!H8-'Balance Sheet'!G8)</f>
        <v>-4446.9024300000019</v>
      </c>
      <c r="I12" s="70">
        <f>-('Balance Sheet'!I8-'Balance Sheet'!H8)</f>
        <v>-4847.123648700006</v>
      </c>
      <c r="J12" s="70">
        <f>-('Balance Sheet'!J8-'Balance Sheet'!I8)</f>
        <v>-5283.3647770829994</v>
      </c>
      <c r="K12" s="70">
        <f>-('Balance Sheet'!K8-'Balance Sheet'!J8)</f>
        <v>-5758.8676070204747</v>
      </c>
    </row>
    <row r="13" spans="2:11" x14ac:dyDescent="0.25">
      <c r="B13" s="121" t="s">
        <v>28</v>
      </c>
      <c r="C13" t="s">
        <v>66</v>
      </c>
      <c r="D13" s="63">
        <f>-('Balance Sheet'!D7-'BS_L&amp;T'!E37)</f>
        <v>-92.409999999999854</v>
      </c>
      <c r="E13" s="63">
        <f>-('Balance Sheet'!E7-'Balance Sheet'!D7)</f>
        <v>122.19999999999982</v>
      </c>
      <c r="F13" s="63">
        <f>-('Balance Sheet'!F7-'Balance Sheet'!E7)</f>
        <v>-292.15000000000009</v>
      </c>
      <c r="G13" s="70">
        <f>-('Balance Sheet'!G7-'Balance Sheet'!F7)</f>
        <v>-249.97291069203493</v>
      </c>
      <c r="H13" s="70">
        <f>-('Balance Sheet'!H7-'Balance Sheet'!G7)</f>
        <v>-354.6803619622824</v>
      </c>
      <c r="I13" s="70">
        <f>-('Balance Sheet'!I7-'Balance Sheet'!H7)</f>
        <v>-386.60159453888991</v>
      </c>
      <c r="J13" s="70">
        <f>-('Balance Sheet'!J7-'Balance Sheet'!I7)</f>
        <v>-421.39573804738939</v>
      </c>
      <c r="K13" s="70">
        <f>-('Balance Sheet'!K7-'Balance Sheet'!J7)</f>
        <v>-459.32135447165365</v>
      </c>
    </row>
    <row r="14" spans="2:11" x14ac:dyDescent="0.25">
      <c r="B14" s="121" t="s">
        <v>29</v>
      </c>
      <c r="C14" t="s">
        <v>66</v>
      </c>
      <c r="D14" s="63">
        <f>-(('Balance Sheet'!D6+'Balance Sheet'!D10+'Balance Sheet'!D11)-('BS_L&amp;T'!E36+'BS_L&amp;T'!E40+'BS_L&amp;T'!E41))</f>
        <v>3972.2699999999895</v>
      </c>
      <c r="E14" s="63">
        <f>-(('Balance Sheet'!E6+'Balance Sheet'!E10+'Balance Sheet'!E11)-('Balance Sheet'!D6+'Balance Sheet'!D10+'Balance Sheet'!D11))</f>
        <v>-7079.4599999999919</v>
      </c>
      <c r="F14" s="63">
        <f>-(('Balance Sheet'!F6+'Balance Sheet'!F10+'Balance Sheet'!F11)-('Balance Sheet'!E6+'Balance Sheet'!E10+'Balance Sheet'!E11))</f>
        <v>-16848.72</v>
      </c>
      <c r="G14" s="70">
        <f>-(('Balance Sheet'!G6+'Balance Sheet'!G10+'Balance Sheet'!G11)-('Balance Sheet'!F6+'Balance Sheet'!F10+'Balance Sheet'!F11))</f>
        <v>-9301.1147999999957</v>
      </c>
      <c r="H14" s="70">
        <f>-(('Balance Sheet'!H6+'Balance Sheet'!H10+'Balance Sheet'!H11)-('Balance Sheet'!G6+'Balance Sheet'!G10+'Balance Sheet'!G11))</f>
        <v>-10138.215131999998</v>
      </c>
      <c r="I14" s="70">
        <f>-(('Balance Sheet'!I6+'Balance Sheet'!I10+'Balance Sheet'!I11)-('Balance Sheet'!H6+'Balance Sheet'!H10+'Balance Sheet'!H11))</f>
        <v>-11050.654493880022</v>
      </c>
      <c r="J14" s="70">
        <f>-(('Balance Sheet'!J6+'Balance Sheet'!J10+'Balance Sheet'!J11)-('Balance Sheet'!I6+'Balance Sheet'!I10+'Balance Sheet'!I11))</f>
        <v>-12045.213398329186</v>
      </c>
      <c r="K14" s="70">
        <f>-(('Balance Sheet'!K6+'Balance Sheet'!K10+'Balance Sheet'!K11)-('Balance Sheet'!J6+'Balance Sheet'!J10+'Balance Sheet'!J11))</f>
        <v>-13129.28260417885</v>
      </c>
    </row>
    <row r="15" spans="2:11" x14ac:dyDescent="0.25">
      <c r="B15" s="74" t="s">
        <v>127</v>
      </c>
      <c r="D15" s="63"/>
      <c r="E15" s="63"/>
      <c r="F15" s="63"/>
      <c r="G15" s="70"/>
      <c r="H15" s="70"/>
      <c r="I15" s="70"/>
      <c r="J15" s="70"/>
      <c r="K15" s="70"/>
    </row>
    <row r="16" spans="2:11" x14ac:dyDescent="0.25">
      <c r="B16" t="s">
        <v>30</v>
      </c>
      <c r="C16" t="s">
        <v>66</v>
      </c>
      <c r="D16" s="63">
        <f>'Balance Sheet'!D20-'BS_L&amp;T'!E18</f>
        <v>-934.04000000000087</v>
      </c>
      <c r="E16" s="63">
        <f>'Balance Sheet'!E20-'Balance Sheet'!D20</f>
        <v>-2050.3400000000038</v>
      </c>
      <c r="F16" s="63">
        <f>'Balance Sheet'!F20-'Balance Sheet'!E20</f>
        <v>10344.520000000004</v>
      </c>
      <c r="G16" s="70">
        <f>'Balance Sheet'!G20-'Balance Sheet'!F20</f>
        <v>3328.1123182271695</v>
      </c>
      <c r="H16" s="70">
        <f>'Balance Sheet'!H20-'Balance Sheet'!G20</f>
        <v>4722.1760086404465</v>
      </c>
      <c r="I16" s="70">
        <f>'Balance Sheet'!I20-'Balance Sheet'!H20</f>
        <v>5147.1718494180896</v>
      </c>
      <c r="J16" s="70">
        <f>'Balance Sheet'!J20-'Balance Sheet'!I20</f>
        <v>5610.4173158657286</v>
      </c>
      <c r="K16" s="70">
        <f>'Balance Sheet'!K20-'Balance Sheet'!J20</f>
        <v>6115.3548742936255</v>
      </c>
    </row>
    <row r="17" spans="2:11" x14ac:dyDescent="0.25">
      <c r="B17" t="s">
        <v>31</v>
      </c>
      <c r="C17" t="s">
        <v>66</v>
      </c>
      <c r="D17" s="63">
        <f>'Balance Sheet'!D22-'BS_L&amp;T'!E20</f>
        <v>-180.79999999999995</v>
      </c>
      <c r="E17" s="63">
        <f>'Balance Sheet'!E22-'Balance Sheet'!D22</f>
        <v>746.66000000000008</v>
      </c>
      <c r="F17" s="63">
        <f>'Balance Sheet'!F22-'Balance Sheet'!E22</f>
        <v>304.25999999999976</v>
      </c>
      <c r="G17" s="70">
        <f>'Balance Sheet'!G22-'Balance Sheet'!F22</f>
        <v>-50.394656906432374</v>
      </c>
      <c r="H17" s="70">
        <f>'Balance Sheet'!H22-'Balance Sheet'!G22</f>
        <v>238.68858087842091</v>
      </c>
      <c r="I17" s="70">
        <f>'Balance Sheet'!I22-'Balance Sheet'!H22</f>
        <v>260.17055315747939</v>
      </c>
      <c r="J17" s="70">
        <f>'Balance Sheet'!J22-'Balance Sheet'!I22</f>
        <v>283.58590294165242</v>
      </c>
      <c r="K17" s="70">
        <f>'Balance Sheet'!K22-'Balance Sheet'!J22</f>
        <v>309.10863420640089</v>
      </c>
    </row>
    <row r="18" spans="2:11" x14ac:dyDescent="0.25">
      <c r="B18" t="s">
        <v>33</v>
      </c>
      <c r="C18" t="s">
        <v>66</v>
      </c>
      <c r="D18" s="182">
        <f>('Balance Sheet'!D19+'Balance Sheet'!D21)-('BS_L&amp;T'!E17+'BS_L&amp;T'!E19)</f>
        <v>8438.75</v>
      </c>
      <c r="E18" s="182">
        <f>('Balance Sheet'!E19+'Balance Sheet'!E21)-('Balance Sheet'!D19+'Balance Sheet'!D21)</f>
        <v>7385.6899999999951</v>
      </c>
      <c r="F18" s="182">
        <f>('Balance Sheet'!F19+'Balance Sheet'!F21)-('Balance Sheet'!E19+'Balance Sheet'!E21)</f>
        <v>7627.570000000007</v>
      </c>
      <c r="G18" s="183">
        <f>('Balance Sheet'!G19+'Balance Sheet'!G21)-('Balance Sheet'!F19+'Balance Sheet'!F21)</f>
        <v>-4190.0353485169326</v>
      </c>
      <c r="H18" s="183">
        <f>('Balance Sheet'!H19+'Balance Sheet'!H21)-('Balance Sheet'!G19+'Balance Sheet'!G21)</f>
        <v>5971.7137186334876</v>
      </c>
      <c r="I18" s="183">
        <f>('Balance Sheet'!I19+'Balance Sheet'!I21)-('Balance Sheet'!H19+'Balance Sheet'!H21)</f>
        <v>6509.1679533104762</v>
      </c>
      <c r="J18" s="183">
        <f>('Balance Sheet'!J19+'Balance Sheet'!J21)-('Balance Sheet'!I19+'Balance Sheet'!I21)</f>
        <v>7094.9930691084446</v>
      </c>
      <c r="K18" s="183">
        <f>('Balance Sheet'!K19+'Balance Sheet'!K21)-('Balance Sheet'!J19+'Balance Sheet'!J21)</f>
        <v>7733.5424453281885</v>
      </c>
    </row>
    <row r="19" spans="2:11" x14ac:dyDescent="0.25">
      <c r="B19" s="1" t="s">
        <v>128</v>
      </c>
      <c r="C19" s="9"/>
      <c r="D19" s="63">
        <f>SUM(D5:D18)</f>
        <v>18450.139999999992</v>
      </c>
      <c r="E19" s="63">
        <f t="shared" ref="E19:K19" si="0">SUM(E5:E18)</f>
        <v>10589.860000000008</v>
      </c>
      <c r="F19" s="63">
        <f t="shared" si="0"/>
        <v>2407.8900000000376</v>
      </c>
      <c r="G19" s="70">
        <f t="shared" si="0"/>
        <v>4681.0930289131866</v>
      </c>
      <c r="H19" s="70">
        <f t="shared" si="0"/>
        <v>17103.515702380319</v>
      </c>
      <c r="I19" s="70">
        <f t="shared" si="0"/>
        <v>18775.605894367451</v>
      </c>
      <c r="J19" s="70">
        <f t="shared" si="0"/>
        <v>20575.667767440376</v>
      </c>
      <c r="K19" s="70">
        <f t="shared" si="0"/>
        <v>22516.104251433058</v>
      </c>
    </row>
    <row r="20" spans="2:11" ht="5.25" customHeight="1" x14ac:dyDescent="0.25">
      <c r="B20" s="74"/>
      <c r="D20" s="109"/>
      <c r="E20" s="109"/>
      <c r="F20" s="109"/>
      <c r="G20" s="110"/>
      <c r="H20" s="110"/>
      <c r="I20" s="110"/>
      <c r="J20" s="110"/>
      <c r="K20" s="110"/>
    </row>
    <row r="21" spans="2:11" x14ac:dyDescent="0.25">
      <c r="B21" s="120" t="s">
        <v>129</v>
      </c>
      <c r="G21" s="61"/>
      <c r="H21" s="61"/>
      <c r="I21" s="61"/>
      <c r="J21" s="61"/>
      <c r="K21" s="61"/>
    </row>
    <row r="22" spans="2:11" x14ac:dyDescent="0.25">
      <c r="B22" t="s">
        <v>43</v>
      </c>
      <c r="C22" t="s">
        <v>66</v>
      </c>
      <c r="D22" s="63">
        <f>-('Balance Sheet'!D14-'BS_L&amp;T'!E29)-'P&amp;L'!D11</f>
        <v>-2503.6100000000006</v>
      </c>
      <c r="E22" s="63">
        <f>-('Balance Sheet'!E14-'Balance Sheet'!D14)-'P&amp;L'!E11</f>
        <v>-1892.7599999999998</v>
      </c>
      <c r="F22" s="63">
        <f>-('Balance Sheet'!F14-'Balance Sheet'!E14)-'P&amp;L'!F11</f>
        <v>-3304.7999999999997</v>
      </c>
      <c r="G22" s="70">
        <f>-('Balance Sheet'!G14-'Balance Sheet'!F14)-'P&amp;L'!G11</f>
        <v>-2890.2192288555502</v>
      </c>
      <c r="H22" s="70">
        <f>-('Balance Sheet'!H14-'Balance Sheet'!G14)-'P&amp;L'!H11</f>
        <v>-3146.3307042048855</v>
      </c>
      <c r="I22" s="70">
        <f>-('Balance Sheet'!I14-'Balance Sheet'!H14)-'P&amp;L'!I11</f>
        <v>-3424.647380121552</v>
      </c>
      <c r="J22" s="70">
        <f>-('Balance Sheet'!J14-'Balance Sheet'!I14)-'P&amp;L'!J11</f>
        <v>-3726.9896567877036</v>
      </c>
      <c r="K22" s="70">
        <f>-('Balance Sheet'!K14-'Balance Sheet'!J14)-'P&amp;L'!K11</f>
        <v>-4055.3042384926994</v>
      </c>
    </row>
    <row r="23" spans="2:11" x14ac:dyDescent="0.25">
      <c r="B23" t="s">
        <v>234</v>
      </c>
      <c r="C23" t="s">
        <v>66</v>
      </c>
      <c r="D23" s="63">
        <f>-('Balance Sheet'!D15-SUM('BS_L&amp;T'!E30:E33))</f>
        <v>-1976.9400000000023</v>
      </c>
      <c r="E23" s="63">
        <f>-('Balance Sheet'!E15-'Balance Sheet'!D15)</f>
        <v>-3300.6100000000006</v>
      </c>
      <c r="F23" s="63">
        <f>-('Balance Sheet'!F15-'Balance Sheet'!E15)</f>
        <v>6936.2100000000064</v>
      </c>
      <c r="G23" s="70">
        <f>-('Balance Sheet'!G15-'Balance Sheet'!F15)</f>
        <v>-3523.9366666666683</v>
      </c>
      <c r="H23" s="70">
        <f>-('Balance Sheet'!H15-'Balance Sheet'!G15)</f>
        <v>-3883.7311308116841</v>
      </c>
      <c r="I23" s="70">
        <f>-('Balance Sheet'!I15-'Balance Sheet'!H15)</f>
        <v>-4280.2606639078222</v>
      </c>
      <c r="J23" s="70">
        <f>-('Balance Sheet'!J15-'Balance Sheet'!I15)</f>
        <v>-4717.2759220249354</v>
      </c>
      <c r="K23" s="70">
        <f>-('Balance Sheet'!K15-'Balance Sheet'!J15)</f>
        <v>-5198.9105037822155</v>
      </c>
    </row>
    <row r="24" spans="2:11" x14ac:dyDescent="0.25">
      <c r="B24" s="1" t="s">
        <v>130</v>
      </c>
      <c r="C24" s="9"/>
      <c r="D24" s="184">
        <f>SUM(D22:D23)</f>
        <v>-4480.5500000000029</v>
      </c>
      <c r="E24" s="184">
        <f t="shared" ref="E24:K24" si="1">SUM(E22:E23)</f>
        <v>-5193.3700000000008</v>
      </c>
      <c r="F24" s="184">
        <f t="shared" si="1"/>
        <v>3631.4100000000067</v>
      </c>
      <c r="G24" s="185">
        <f t="shared" si="1"/>
        <v>-6414.155895522219</v>
      </c>
      <c r="H24" s="185">
        <f t="shared" si="1"/>
        <v>-7030.0618350165696</v>
      </c>
      <c r="I24" s="185">
        <f t="shared" si="1"/>
        <v>-7704.9080440293747</v>
      </c>
      <c r="J24" s="185">
        <f t="shared" si="1"/>
        <v>-8444.2655788126394</v>
      </c>
      <c r="K24" s="185">
        <f t="shared" si="1"/>
        <v>-9254.2147422749149</v>
      </c>
    </row>
    <row r="25" spans="2:11" ht="6" customHeight="1" x14ac:dyDescent="0.25">
      <c r="B25" s="74"/>
      <c r="D25" s="109"/>
      <c r="E25" s="74"/>
      <c r="F25" s="74"/>
      <c r="G25" s="110"/>
      <c r="H25" s="110"/>
      <c r="I25" s="110"/>
      <c r="J25" s="110"/>
      <c r="K25" s="110"/>
    </row>
    <row r="26" spans="2:11" x14ac:dyDescent="0.25">
      <c r="B26" s="120" t="s">
        <v>131</v>
      </c>
      <c r="G26" s="61"/>
      <c r="H26" s="61"/>
      <c r="I26" s="61"/>
      <c r="J26" s="61"/>
      <c r="K26" s="61"/>
    </row>
    <row r="27" spans="2:11" x14ac:dyDescent="0.25">
      <c r="B27" t="s">
        <v>32</v>
      </c>
      <c r="C27" t="s">
        <v>66</v>
      </c>
      <c r="D27" s="63">
        <f>('Balance Sheet'!D25+'Balance Sheet'!D27)-('BS_L&amp;T'!E11+'BS_L&amp;T'!E13)</f>
        <v>2585.4399999999987</v>
      </c>
      <c r="E27" s="63">
        <f>('Balance Sheet'!E25+'Balance Sheet'!E27)-('Balance Sheet'!D25+'Balance Sheet'!D27)</f>
        <v>-2496.1399999999994</v>
      </c>
      <c r="F27" s="63">
        <f>('Balance Sheet'!F25+'Balance Sheet'!F27)-('Balance Sheet'!E25+'Balance Sheet'!E27)</f>
        <v>804.88000000000102</v>
      </c>
      <c r="G27" s="70">
        <f>('Balance Sheet'!G25+'Balance Sheet'!G27)-('Balance Sheet'!F25+'Balance Sheet'!F27)</f>
        <v>-832.13870170075461</v>
      </c>
      <c r="H27" s="70">
        <f>('Balance Sheet'!H25+'Balance Sheet'!H27)-('Balance Sheet'!G25+'Balance Sheet'!G27)</f>
        <v>-659.45320255302067</v>
      </c>
      <c r="I27" s="70">
        <f>('Balance Sheet'!I25+'Balance Sheet'!I27)-('Balance Sheet'!H25+'Balance Sheet'!H27)</f>
        <v>-718.80399078279333</v>
      </c>
      <c r="J27" s="70">
        <f>('Balance Sheet'!J25+'Balance Sheet'!J27)-('Balance Sheet'!I25+'Balance Sheet'!I27)</f>
        <v>-783.49634995324323</v>
      </c>
      <c r="K27" s="70">
        <f>('Balance Sheet'!K25+'Balance Sheet'!K27)-('Balance Sheet'!J25+'Balance Sheet'!J27)</f>
        <v>-854.01102144903598</v>
      </c>
    </row>
    <row r="28" spans="2:11" x14ac:dyDescent="0.25">
      <c r="B28" t="s">
        <v>218</v>
      </c>
      <c r="C28" t="s">
        <v>66</v>
      </c>
      <c r="D28" s="63">
        <f>'Balance Sheet'!D28-'BS_L&amp;T'!E14</f>
        <v>60.759999999999991</v>
      </c>
      <c r="E28" s="63">
        <f>'Balance Sheet'!E28-'Balance Sheet'!D28</f>
        <v>67.990000000000009</v>
      </c>
      <c r="F28" s="63">
        <f>'Balance Sheet'!F28-'Balance Sheet'!E28</f>
        <v>3.6000000000000227</v>
      </c>
      <c r="G28" s="70">
        <f>'Balance Sheet'!G28-'Balance Sheet'!F28</f>
        <v>118.84259731715008</v>
      </c>
      <c r="H28" s="70">
        <f>'Balance Sheet'!H28-'Balance Sheet'!G28</f>
        <v>79.934633758543555</v>
      </c>
      <c r="I28" s="70">
        <f>'Balance Sheet'!I28-'Balance Sheet'!H28</f>
        <v>87.128750796812369</v>
      </c>
      <c r="J28" s="70">
        <f>'Balance Sheet'!J28-'Balance Sheet'!I28</f>
        <v>94.970338368525745</v>
      </c>
      <c r="K28" s="70">
        <f>'Balance Sheet'!K28-'Balance Sheet'!J28</f>
        <v>103.51766882169318</v>
      </c>
    </row>
    <row r="29" spans="2:11" x14ac:dyDescent="0.25">
      <c r="B29" t="s">
        <v>132</v>
      </c>
      <c r="C29" t="s">
        <v>66</v>
      </c>
      <c r="D29" s="63">
        <f>('Balance Sheet'!D30-'BS_L&amp;T'!E5)-('P&amp;L'!D16*0.4)</f>
        <v>-3802.5219999999977</v>
      </c>
      <c r="E29" s="63">
        <f>('Balance Sheet'!E30-'Balance Sheet'!D30)-('P&amp;L'!E16*0.4)</f>
        <v>-4348.1780000000026</v>
      </c>
      <c r="F29" s="63">
        <f>('Balance Sheet'!F30-'Balance Sheet'!E30)-('P&amp;L'!F16*0.4)</f>
        <v>-2514.762000000012</v>
      </c>
      <c r="G29" s="70">
        <f>('Balance Sheet'!G30-'Balance Sheet'!F30)-('P&amp;L'!G16*0.4)</f>
        <v>-2807.8578518082268</v>
      </c>
      <c r="H29" s="70">
        <f>('Balance Sheet'!H30-'Balance Sheet'!G30)-('P&amp;L'!H16*0.4)</f>
        <v>-3085.5777949472404</v>
      </c>
      <c r="I29" s="70">
        <f>('Balance Sheet'!I30-'Balance Sheet'!H30)-('P&amp;L'!I16*0.4)</f>
        <v>-3384.5236010961635</v>
      </c>
      <c r="J29" s="70">
        <f>('Balance Sheet'!J30-'Balance Sheet'!I30)-('P&amp;L'!J16*0.4)</f>
        <v>-3706.7719000075831</v>
      </c>
      <c r="K29" s="70">
        <f>('Balance Sheet'!K30-'Balance Sheet'!J30)-('P&amp;L'!K16*0.4)</f>
        <v>-4054.5615925959646</v>
      </c>
    </row>
    <row r="30" spans="2:11" x14ac:dyDescent="0.25">
      <c r="B30" t="s">
        <v>293</v>
      </c>
      <c r="C30" t="s">
        <v>66</v>
      </c>
      <c r="D30" s="63">
        <f>('Balance Sheet'!D31-'BS_L&amp;T'!E8)-('P&amp;L'!D16*0.6)</f>
        <v>-12613.717999999997</v>
      </c>
      <c r="E30" s="63">
        <f>('Balance Sheet'!E31-'Balance Sheet'!D31)-('P&amp;L'!E16*0.6)</f>
        <v>957.25799999999981</v>
      </c>
      <c r="F30" s="63">
        <f>('Balance Sheet'!F31-'Balance Sheet'!E31)-('P&amp;L'!F16*0.6)</f>
        <v>-1135.3080000000168</v>
      </c>
      <c r="G30" s="70">
        <f>('Balance Sheet'!G31-'Balance Sheet'!F31)-('P&amp;L'!G16*0.6)</f>
        <v>0</v>
      </c>
      <c r="H30" s="70">
        <f>('Balance Sheet'!H31-'Balance Sheet'!G31)-('P&amp;L'!H16*0.6)</f>
        <v>0</v>
      </c>
      <c r="I30" s="70">
        <f>('Balance Sheet'!I31-'Balance Sheet'!H31)-('P&amp;L'!I16*0.6)</f>
        <v>0</v>
      </c>
      <c r="J30" s="70">
        <f>('Balance Sheet'!J31-'Balance Sheet'!I31)-('P&amp;L'!J16*0.6)</f>
        <v>0</v>
      </c>
      <c r="K30" s="70">
        <f>('Balance Sheet'!K31-'Balance Sheet'!J31)-('P&amp;L'!K16*0.6)</f>
        <v>0</v>
      </c>
    </row>
    <row r="31" spans="2:11" x14ac:dyDescent="0.25">
      <c r="B31" s="1" t="s">
        <v>133</v>
      </c>
      <c r="C31" s="9"/>
      <c r="D31" s="184">
        <f>SUM(D27:D30)</f>
        <v>-13770.039999999995</v>
      </c>
      <c r="E31" s="184">
        <f t="shared" ref="E31:K31" si="2">SUM(E27:E30)</f>
        <v>-5819.0700000000024</v>
      </c>
      <c r="F31" s="184">
        <f t="shared" si="2"/>
        <v>-2841.5900000000279</v>
      </c>
      <c r="G31" s="185">
        <f t="shared" si="2"/>
        <v>-3521.1539561918312</v>
      </c>
      <c r="H31" s="185">
        <f t="shared" si="2"/>
        <v>-3665.0963637417176</v>
      </c>
      <c r="I31" s="185">
        <f t="shared" si="2"/>
        <v>-4016.1988410821446</v>
      </c>
      <c r="J31" s="185">
        <f t="shared" si="2"/>
        <v>-4395.2979115923008</v>
      </c>
      <c r="K31" s="185">
        <f t="shared" si="2"/>
        <v>-4805.0549452233072</v>
      </c>
    </row>
    <row r="32" spans="2:11" ht="6" customHeight="1" x14ac:dyDescent="0.25">
      <c r="G32" s="61"/>
      <c r="H32" s="61"/>
      <c r="I32" s="61"/>
      <c r="J32" s="61"/>
      <c r="K32" s="61"/>
    </row>
    <row r="33" spans="2:11" x14ac:dyDescent="0.25">
      <c r="B33" s="122" t="s">
        <v>73</v>
      </c>
      <c r="C33" s="122"/>
      <c r="D33" s="186">
        <f>D19+D24+D31</f>
        <v>199.54999999999382</v>
      </c>
      <c r="E33" s="186">
        <f t="shared" ref="E33:K33" si="3">E19+E24+E31</f>
        <v>-422.57999999999538</v>
      </c>
      <c r="F33" s="186">
        <f t="shared" si="3"/>
        <v>3197.7100000000169</v>
      </c>
      <c r="G33" s="187">
        <f t="shared" si="3"/>
        <v>-5254.2168228008632</v>
      </c>
      <c r="H33" s="187">
        <f t="shared" si="3"/>
        <v>6408.3575036220318</v>
      </c>
      <c r="I33" s="187">
        <f t="shared" si="3"/>
        <v>7054.499009255931</v>
      </c>
      <c r="J33" s="187">
        <f t="shared" si="3"/>
        <v>7736.1042770354361</v>
      </c>
      <c r="K33" s="187">
        <f t="shared" si="3"/>
        <v>8456.8345639348372</v>
      </c>
    </row>
    <row r="34" spans="2:11" ht="8.25" customHeight="1" x14ac:dyDescent="0.25">
      <c r="G34" s="61"/>
      <c r="H34" s="61"/>
      <c r="I34" s="61"/>
      <c r="J34" s="61"/>
      <c r="K34" s="61"/>
    </row>
    <row r="35" spans="2:11" x14ac:dyDescent="0.25">
      <c r="B35" s="74" t="s">
        <v>134</v>
      </c>
      <c r="C35" s="74"/>
      <c r="D35" s="124">
        <f>'BS_L&amp;T'!E39</f>
        <v>4569.6400000000003</v>
      </c>
      <c r="E35" s="124">
        <f>'Balance Sheet'!D9</f>
        <v>4769.1899999999923</v>
      </c>
      <c r="F35" s="124">
        <f>'Balance Sheet'!E9</f>
        <v>4346.610000000006</v>
      </c>
      <c r="G35" s="181">
        <f>'Balance Sheet'!F9</f>
        <v>7544.3200000000197</v>
      </c>
      <c r="H35" s="181">
        <f>'Balance Sheet'!G9</f>
        <v>2290.1031771991456</v>
      </c>
      <c r="I35" s="181">
        <f>'Balance Sheet'!H9</f>
        <v>8698.4606808211865</v>
      </c>
      <c r="J35" s="181">
        <f>'Balance Sheet'!I9</f>
        <v>15752.95969007711</v>
      </c>
      <c r="K35" s="181">
        <f>'Balance Sheet'!J9</f>
        <v>23489.063967112554</v>
      </c>
    </row>
    <row r="36" spans="2:11" ht="6.75" customHeight="1" x14ac:dyDescent="0.25">
      <c r="G36" s="61"/>
      <c r="H36" s="61"/>
      <c r="I36" s="61"/>
      <c r="J36" s="61"/>
      <c r="K36" s="61"/>
    </row>
    <row r="37" spans="2:11" x14ac:dyDescent="0.25">
      <c r="B37" s="122" t="s">
        <v>135</v>
      </c>
      <c r="C37" s="122"/>
      <c r="D37" s="186">
        <f>D35+D33</f>
        <v>4769.1899999999941</v>
      </c>
      <c r="E37" s="186">
        <f>E35+E33</f>
        <v>4346.6099999999969</v>
      </c>
      <c r="F37" s="186">
        <f t="shared" ref="F37" si="4">F35+F33</f>
        <v>7544.3200000000234</v>
      </c>
      <c r="G37" s="187">
        <f t="shared" ref="G37:K37" si="5">G35+G33</f>
        <v>2290.1031771991566</v>
      </c>
      <c r="H37" s="187">
        <f t="shared" si="5"/>
        <v>8698.4606808211774</v>
      </c>
      <c r="I37" s="187">
        <f t="shared" si="5"/>
        <v>15752.959690077118</v>
      </c>
      <c r="J37" s="187">
        <f t="shared" si="5"/>
        <v>23489.063967112546</v>
      </c>
      <c r="K37" s="187">
        <f t="shared" si="5"/>
        <v>31945.898531047391</v>
      </c>
    </row>
    <row r="38" spans="2:11" ht="9" customHeight="1" x14ac:dyDescent="0.25"/>
    <row r="39" spans="2:11" x14ac:dyDescent="0.25">
      <c r="B39" s="123" t="s">
        <v>58</v>
      </c>
      <c r="C39" s="123"/>
      <c r="D39" s="189">
        <f>'Balance Sheet'!D9-'Cash Flow Statement'!D37</f>
        <v>0</v>
      </c>
      <c r="E39" s="189">
        <f>'Balance Sheet'!E9-'Cash Flow Statement'!E37</f>
        <v>9.0949470177292824E-12</v>
      </c>
      <c r="F39" s="189">
        <f>'Balance Sheet'!F9-'Cash Flow Statement'!F37</f>
        <v>0</v>
      </c>
      <c r="G39" s="189">
        <f>'Balance Sheet'!G9-'Cash Flow Statement'!G37</f>
        <v>-1.0913936421275139E-11</v>
      </c>
      <c r="H39" s="189">
        <f>'Balance Sheet'!H9-'Cash Flow Statement'!H37</f>
        <v>0</v>
      </c>
      <c r="I39" s="189">
        <f>'Balance Sheet'!I9-'Cash Flow Statement'!I37</f>
        <v>0</v>
      </c>
      <c r="J39" s="189">
        <f>'Balance Sheet'!J9-'Cash Flow Statement'!J37</f>
        <v>0</v>
      </c>
      <c r="K39" s="189">
        <f>'Balance Sheet'!K9-'Cash Flow Statement'!K37</f>
        <v>0</v>
      </c>
    </row>
  </sheetData>
  <sheetProtection algorithmName="SHA-512" hashValue="fGRgg8uZ9lFNDNZpfxJA3FoajgR6IkJUBH1+12gxm/GkNPLFcGJUNvFj1P6HdOxUSj0go1QOG8pISNpRxReu1Q==" saltValue="C5+yZyrflpMhaRlKwNENoQ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14A2D-AEDC-444E-B952-5346D0BD2368}">
  <sheetPr codeName="Sheet9">
    <tabColor rgb="FF0070C0"/>
  </sheetPr>
  <dimension ref="B1:J25"/>
  <sheetViews>
    <sheetView showGridLines="0" workbookViewId="0"/>
  </sheetViews>
  <sheetFormatPr defaultRowHeight="15" x14ac:dyDescent="0.25"/>
  <cols>
    <col min="1" max="1" width="2.42578125" customWidth="1"/>
    <col min="2" max="2" width="24.7109375" bestFit="1" customWidth="1"/>
    <col min="3" max="3" width="10" bestFit="1" customWidth="1"/>
    <col min="4" max="4" width="11.5703125" bestFit="1" customWidth="1"/>
    <col min="5" max="6" width="10" bestFit="1" customWidth="1"/>
    <col min="7" max="7" width="10.140625" bestFit="1" customWidth="1"/>
    <col min="8" max="8" width="10" bestFit="1" customWidth="1"/>
    <col min="9" max="10" width="9.28515625" bestFit="1" customWidth="1"/>
  </cols>
  <sheetData>
    <row r="1" spans="2:8" ht="15.75" x14ac:dyDescent="0.25">
      <c r="B1" s="7" t="s">
        <v>78</v>
      </c>
    </row>
    <row r="3" spans="2:8" x14ac:dyDescent="0.25">
      <c r="B3" t="s">
        <v>79</v>
      </c>
      <c r="C3" s="201">
        <f>'DCF_WACC assumptions'!D17</f>
        <v>0.12268870019430829</v>
      </c>
    </row>
    <row r="4" spans="2:8" x14ac:dyDescent="0.25">
      <c r="B4" t="s">
        <v>80</v>
      </c>
      <c r="C4" s="202">
        <v>0.05</v>
      </c>
    </row>
    <row r="6" spans="2:8" x14ac:dyDescent="0.25">
      <c r="D6" s="5">
        <v>1</v>
      </c>
      <c r="E6" s="5">
        <v>2</v>
      </c>
      <c r="F6" s="5">
        <v>3</v>
      </c>
      <c r="G6" s="5">
        <v>4</v>
      </c>
      <c r="H6" s="5">
        <v>5</v>
      </c>
    </row>
    <row r="7" spans="2:8" ht="35.25" customHeight="1" thickBot="1" x14ac:dyDescent="0.3">
      <c r="D7" s="84" t="s">
        <v>269</v>
      </c>
      <c r="E7" s="84" t="s">
        <v>270</v>
      </c>
      <c r="F7" s="84" t="s">
        <v>271</v>
      </c>
      <c r="G7" s="84" t="s">
        <v>272</v>
      </c>
      <c r="H7" s="84" t="s">
        <v>273</v>
      </c>
    </row>
    <row r="8" spans="2:8" x14ac:dyDescent="0.25">
      <c r="B8" t="s">
        <v>68</v>
      </c>
      <c r="D8" s="75">
        <f>'Unlevered Cash Flow'!G18</f>
        <v>3099.5169141811989</v>
      </c>
      <c r="E8" s="75">
        <f>'Unlevered Cash Flow'!H18</f>
        <v>15159.725818593461</v>
      </c>
      <c r="F8" s="75">
        <f>'Unlevered Cash Flow'!I18</f>
        <v>16455.999613048545</v>
      </c>
      <c r="G8" s="75">
        <f>'Unlevered Cash Flow'!J18</f>
        <v>17864.12457975341</v>
      </c>
      <c r="H8" s="75">
        <f>'Unlevered Cash Flow'!K18</f>
        <v>19393.916014441482</v>
      </c>
    </row>
    <row r="9" spans="2:8" x14ac:dyDescent="0.25">
      <c r="B9" t="s">
        <v>81</v>
      </c>
      <c r="D9" s="54">
        <f>1/(1+$C$3)^D6</f>
        <v>0.89071886073755446</v>
      </c>
      <c r="E9" s="54">
        <f>1/(1+$C$3)^E6</f>
        <v>0.79338008887360689</v>
      </c>
      <c r="F9" s="54">
        <f>1/(1+$C$3)^F6</f>
        <v>0.70667860889335876</v>
      </c>
      <c r="G9" s="54">
        <f>1/(1+$C$3)^G6</f>
        <v>0.62945196542109239</v>
      </c>
      <c r="H9" s="54">
        <f>1/(1+$C$3)^H6</f>
        <v>0.5606647375288899</v>
      </c>
    </row>
    <row r="10" spans="2:8" x14ac:dyDescent="0.25">
      <c r="B10" s="1" t="s">
        <v>82</v>
      </c>
      <c r="C10" s="9"/>
      <c r="D10" s="194">
        <f>D8*D9</f>
        <v>2760.798174636258</v>
      </c>
      <c r="E10" s="194">
        <f t="shared" ref="E10:H10" si="0">E8*E9</f>
        <v>12027.424617255192</v>
      </c>
      <c r="F10" s="194">
        <f t="shared" si="0"/>
        <v>11629.102914498795</v>
      </c>
      <c r="G10" s="194">
        <f t="shared" si="0"/>
        <v>11244.60832725303</v>
      </c>
      <c r="H10" s="194">
        <f t="shared" si="0"/>
        <v>10873.484831894168</v>
      </c>
    </row>
    <row r="12" spans="2:8" x14ac:dyDescent="0.25">
      <c r="B12" s="210" t="s">
        <v>78</v>
      </c>
      <c r="C12" s="210"/>
      <c r="D12" s="210"/>
      <c r="E12" s="210"/>
      <c r="F12" s="210"/>
      <c r="G12" s="210"/>
      <c r="H12" s="210"/>
    </row>
    <row r="13" spans="2:8" x14ac:dyDescent="0.25">
      <c r="B13" t="s">
        <v>83</v>
      </c>
      <c r="C13" s="75">
        <f>SUM(D10:H10)</f>
        <v>48535.418865537446</v>
      </c>
      <c r="E13" s="23">
        <f>C13/C16</f>
        <v>0.23606186045239913</v>
      </c>
      <c r="F13" t="s">
        <v>90</v>
      </c>
    </row>
    <row r="14" spans="2:8" x14ac:dyDescent="0.25">
      <c r="B14" t="s">
        <v>84</v>
      </c>
      <c r="C14" s="4">
        <f>(H8*(1+C4))/((C3-C4))</f>
        <v>280148.24533563579</v>
      </c>
    </row>
    <row r="15" spans="2:8" x14ac:dyDescent="0.25">
      <c r="B15" t="s">
        <v>85</v>
      </c>
      <c r="C15" s="4">
        <f>C14*H9</f>
        <v>157069.2424402833</v>
      </c>
      <c r="E15" s="23">
        <f>C15/C16</f>
        <v>0.76393813954760081</v>
      </c>
      <c r="F15" t="s">
        <v>90</v>
      </c>
    </row>
    <row r="16" spans="2:8" x14ac:dyDescent="0.25">
      <c r="B16" s="64" t="s">
        <v>86</v>
      </c>
      <c r="C16" s="76">
        <f>C13+C15</f>
        <v>205604.66130582074</v>
      </c>
      <c r="D16" t="s">
        <v>276</v>
      </c>
    </row>
    <row r="17" spans="2:10" x14ac:dyDescent="0.25">
      <c r="B17" t="s">
        <v>87</v>
      </c>
      <c r="C17" s="75">
        <f>'Balance Sheet'!F25+'Balance Sheet'!F27</f>
        <v>10450.61</v>
      </c>
    </row>
    <row r="18" spans="2:10" x14ac:dyDescent="0.25">
      <c r="B18" t="s">
        <v>88</v>
      </c>
      <c r="C18" s="75">
        <f>'Balance Sheet'!F9</f>
        <v>7544.3200000000197</v>
      </c>
    </row>
    <row r="19" spans="2:10" x14ac:dyDescent="0.25">
      <c r="B19" s="64" t="s">
        <v>89</v>
      </c>
      <c r="C19" s="76">
        <f>SUM(C16:C18)</f>
        <v>223599.59130582074</v>
      </c>
      <c r="D19" t="s">
        <v>276</v>
      </c>
    </row>
    <row r="20" spans="2:10" x14ac:dyDescent="0.25">
      <c r="G20" s="210" t="s">
        <v>79</v>
      </c>
      <c r="H20" s="210"/>
      <c r="I20" s="210"/>
      <c r="J20" s="210"/>
    </row>
    <row r="21" spans="2:10" x14ac:dyDescent="0.25">
      <c r="F21" s="77">
        <f>$C$16</f>
        <v>205604.66130582074</v>
      </c>
      <c r="G21" s="195">
        <v>0.08</v>
      </c>
      <c r="H21" s="195">
        <v>0.1</v>
      </c>
      <c r="I21" s="203">
        <v>0.12</v>
      </c>
      <c r="J21" s="203">
        <v>0.14000000000000001</v>
      </c>
    </row>
    <row r="22" spans="2:10" ht="15" customHeight="1" x14ac:dyDescent="0.25">
      <c r="E22" s="214" t="s">
        <v>91</v>
      </c>
      <c r="F22" s="203">
        <v>0.04</v>
      </c>
      <c r="G22" s="75">
        <f t="dataTable" ref="G22:J25" dt2D="1" dtr="1" r1="C3" r2="C4"/>
        <v>398438.59326038719</v>
      </c>
      <c r="H22" s="75">
        <v>260683.27503681756</v>
      </c>
      <c r="I22" s="75">
        <v>191983.49901010221</v>
      </c>
      <c r="J22" s="75">
        <v>150895.66982088622</v>
      </c>
    </row>
    <row r="23" spans="2:10" x14ac:dyDescent="0.25">
      <c r="E23" s="214"/>
      <c r="F23" s="203">
        <v>4.4999999999999998E-2</v>
      </c>
      <c r="G23" s="75">
        <v>449349.69052196457</v>
      </c>
      <c r="H23" s="75">
        <v>280753.43502179277</v>
      </c>
      <c r="I23" s="75">
        <v>202254.48587530426</v>
      </c>
      <c r="J23" s="75">
        <v>156939.22517516234</v>
      </c>
    </row>
    <row r="24" spans="2:10" x14ac:dyDescent="0.25">
      <c r="E24" s="214"/>
      <c r="F24" s="203">
        <v>0.05</v>
      </c>
      <c r="G24" s="75">
        <v>517231.15353740141</v>
      </c>
      <c r="H24" s="75">
        <v>304837.6270037631</v>
      </c>
      <c r="I24" s="75">
        <v>213992.75657839244</v>
      </c>
      <c r="J24" s="75">
        <v>163654.28667991364</v>
      </c>
    </row>
    <row r="25" spans="2:10" x14ac:dyDescent="0.25">
      <c r="E25" s="214"/>
      <c r="F25" s="203">
        <v>5.5E-2</v>
      </c>
      <c r="G25" s="75">
        <v>612265.20175901277</v>
      </c>
      <c r="H25" s="75">
        <v>334273.86164839339</v>
      </c>
      <c r="I25" s="75">
        <v>227536.91508195564</v>
      </c>
      <c r="J25" s="75">
        <v>171159.35542051797</v>
      </c>
    </row>
  </sheetData>
  <sheetProtection algorithmName="SHA-512" hashValue="uMjjqol7agEnW1oIyNOYdoEupI/nLIzP2LqwETnbcinX66RW6agdOxQfAKPeQjXq6PMaS4zwqvGV9zYQyKJRDQ==" saltValue="sKlLFMLeOJkccBGUdC6g9w==" spinCount="100000" sheet="1" objects="1" scenarios="1"/>
  <mergeCells count="3">
    <mergeCell ref="B12:H12"/>
    <mergeCell ref="G20:J20"/>
    <mergeCell ref="E22:E25"/>
  </mergeCells>
  <dataValidations count="1">
    <dataValidation type="list" allowBlank="1" showInputMessage="1" showErrorMessage="1" sqref="C4" xr:uid="{B7C330A2-D7AB-4A1C-9207-9F8F07406261}">
      <formula1>$F$22:$F$25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A613D-222F-43FD-A75A-FD77FB33B287}">
  <sheetPr codeName="Sheet10">
    <tabColor rgb="FF0070C0"/>
  </sheetPr>
  <dimension ref="B1:N16"/>
  <sheetViews>
    <sheetView showGridLines="0" workbookViewId="0">
      <pane ySplit="3" topLeftCell="A4" activePane="bottomLeft" state="frozen"/>
      <selection pane="bottomLeft"/>
    </sheetView>
  </sheetViews>
  <sheetFormatPr defaultRowHeight="15" x14ac:dyDescent="0.25"/>
  <cols>
    <col min="1" max="1" width="2.42578125" customWidth="1"/>
    <col min="2" max="2" width="24.7109375" bestFit="1" customWidth="1"/>
    <col min="3" max="3" width="36.140625" customWidth="1"/>
    <col min="4" max="11" width="10.7109375" customWidth="1"/>
    <col min="13" max="14" width="10" bestFit="1" customWidth="1"/>
  </cols>
  <sheetData>
    <row r="1" spans="2:14" ht="15.75" x14ac:dyDescent="0.25">
      <c r="B1" s="7" t="s">
        <v>144</v>
      </c>
      <c r="C1" s="7"/>
    </row>
    <row r="3" spans="2:14" ht="15.75" thickBot="1" x14ac:dyDescent="0.3">
      <c r="B3" s="137" t="s">
        <v>139</v>
      </c>
      <c r="C3" s="136" t="s">
        <v>141</v>
      </c>
      <c r="D3" s="127" t="s">
        <v>305</v>
      </c>
      <c r="E3" s="127" t="s">
        <v>306</v>
      </c>
      <c r="F3" s="127" t="s">
        <v>307</v>
      </c>
      <c r="G3" s="205" t="s">
        <v>308</v>
      </c>
      <c r="H3" s="205" t="s">
        <v>309</v>
      </c>
      <c r="I3" s="205" t="s">
        <v>310</v>
      </c>
      <c r="J3" s="205" t="s">
        <v>311</v>
      </c>
      <c r="K3" s="205" t="s">
        <v>312</v>
      </c>
    </row>
    <row r="4" spans="2:14" ht="27.95" customHeight="1" x14ac:dyDescent="0.25">
      <c r="B4" s="215" t="s">
        <v>140</v>
      </c>
      <c r="C4" s="129" t="s">
        <v>148</v>
      </c>
      <c r="D4" s="125">
        <f>'Balance Sheet'!D12/'Balance Sheet'!D23</f>
        <v>1.2717841656971212</v>
      </c>
      <c r="E4" s="125">
        <f>'Balance Sheet'!E12/'Balance Sheet'!E23</f>
        <v>1.2734007972024723</v>
      </c>
      <c r="F4" s="125">
        <f>'Balance Sheet'!F12/'Balance Sheet'!F23</f>
        <v>1.3066202907683195</v>
      </c>
      <c r="G4" s="133">
        <f>'Balance Sheet'!G12/'Balance Sheet'!G23</f>
        <v>1.385392062420995</v>
      </c>
      <c r="H4" s="133">
        <f>'Balance Sheet'!H12/'Balance Sheet'!H23</f>
        <v>1.4322348312283033</v>
      </c>
      <c r="I4" s="133">
        <f>'Balance Sheet'!I12/'Balance Sheet'!I23</f>
        <v>1.475690643117596</v>
      </c>
      <c r="J4" s="133">
        <f>'Balance Sheet'!J12/'Balance Sheet'!J23</f>
        <v>1.5158552265552656</v>
      </c>
      <c r="K4" s="133">
        <f>'Balance Sheet'!K12/'Balance Sheet'!K23</f>
        <v>1.5528462396798166</v>
      </c>
    </row>
    <row r="5" spans="2:14" ht="27.95" customHeight="1" x14ac:dyDescent="0.25">
      <c r="B5" s="215"/>
      <c r="C5" s="130" t="s">
        <v>149</v>
      </c>
      <c r="D5" s="126">
        <f>('Balance Sheet'!D12-'Balance Sheet'!D7)/'Balance Sheet'!D23</f>
        <v>1.2358658145889321</v>
      </c>
      <c r="E5" s="126">
        <f>('Balance Sheet'!E12-'Balance Sheet'!E7)/'Balance Sheet'!E23</f>
        <v>1.2407545510448372</v>
      </c>
      <c r="F5" s="126">
        <f>('Balance Sheet'!F12-'Balance Sheet'!F7)/'Balance Sheet'!F23</f>
        <v>1.2764621207707683</v>
      </c>
      <c r="G5" s="134">
        <f>('Balance Sheet'!G12-'Balance Sheet'!G7)/'Balance Sheet'!G23</f>
        <v>1.3529495450234474</v>
      </c>
      <c r="H5" s="134">
        <f>('Balance Sheet'!H12-'Balance Sheet'!H7)/'Balance Sheet'!H23</f>
        <v>1.3997923138307558</v>
      </c>
      <c r="I5" s="134">
        <f>('Balance Sheet'!I12-'Balance Sheet'!I7)/'Balance Sheet'!I23</f>
        <v>1.4432481257200482</v>
      </c>
      <c r="J5" s="134">
        <f>('Balance Sheet'!J12-'Balance Sheet'!J7)/'Balance Sheet'!J23</f>
        <v>1.4834127091577181</v>
      </c>
      <c r="K5" s="134">
        <f>('Balance Sheet'!K12-'Balance Sheet'!K7)/'Balance Sheet'!K23</f>
        <v>1.5204037222822691</v>
      </c>
    </row>
    <row r="6" spans="2:14" ht="27.95" customHeight="1" x14ac:dyDescent="0.25">
      <c r="B6" s="216"/>
      <c r="C6" s="130" t="s">
        <v>150</v>
      </c>
      <c r="D6" s="206">
        <f>'Balance Sheet'!D9/'Balance Sheet'!D23</f>
        <v>4.8651775198784331E-2</v>
      </c>
      <c r="E6" s="206">
        <f>'Balance Sheet'!E9/'Balance Sheet'!E23</f>
        <v>4.1750545053427693E-2</v>
      </c>
      <c r="F6" s="126">
        <f>'Balance Sheet'!F9/'Balance Sheet'!F23</f>
        <v>6.1643949225647234E-2</v>
      </c>
      <c r="G6" s="134">
        <f>'Balance Sheet'!G9/'Balance Sheet'!G23</f>
        <v>1.8852760999134938E-2</v>
      </c>
      <c r="H6" s="134">
        <f>'Balance Sheet'!H9/'Balance Sheet'!H23</f>
        <v>6.569552980644365E-2</v>
      </c>
      <c r="I6" s="134">
        <f>'Balance Sheet'!I9/'Balance Sheet'!I23</f>
        <v>0.10915134169573569</v>
      </c>
      <c r="J6" s="134">
        <f>'Balance Sheet'!J9/'Balance Sheet'!J23</f>
        <v>0.14931592513340586</v>
      </c>
      <c r="K6" s="134">
        <f>'Balance Sheet'!K9/'Balance Sheet'!K23</f>
        <v>0.18630693825795649</v>
      </c>
    </row>
    <row r="7" spans="2:14" ht="27.95" customHeight="1" x14ac:dyDescent="0.25">
      <c r="B7" s="217" t="s">
        <v>145</v>
      </c>
      <c r="C7" s="130" t="s">
        <v>151</v>
      </c>
      <c r="D7" s="126">
        <f>('Balance Sheet'!D25+'Balance Sheet'!D27)/'Balance Sheet'!D17</f>
        <v>6.927021715606943E-2</v>
      </c>
      <c r="E7" s="126">
        <f>('Balance Sheet'!E25+'Balance Sheet'!E27)/'Balance Sheet'!E17</f>
        <v>5.1742939929893483E-2</v>
      </c>
      <c r="F7" s="206">
        <f>('Balance Sheet'!F25+'Balance Sheet'!F27)/'Balance Sheet'!F17</f>
        <v>5.0209947004452429E-2</v>
      </c>
      <c r="G7" s="207">
        <f>('Balance Sheet'!G25+'Balance Sheet'!G27)/'Balance Sheet'!G17</f>
        <v>4.3472554250006165E-2</v>
      </c>
      <c r="H7" s="207">
        <f>('Balance Sheet'!H25+'Balance Sheet'!H27)/'Balance Sheet'!H17</f>
        <v>3.6153321671728703E-2</v>
      </c>
      <c r="I7" s="207">
        <f>('Balance Sheet'!I25+'Balance Sheet'!I27)/'Balance Sheet'!I17</f>
        <v>2.9763128822609026E-2</v>
      </c>
      <c r="J7" s="207">
        <f>('Balance Sheet'!J25+'Balance Sheet'!J27)/'Balance Sheet'!J17</f>
        <v>2.4161420854973699E-2</v>
      </c>
      <c r="K7" s="207">
        <f>('Balance Sheet'!K25+'Balance Sheet'!K27)/'Balance Sheet'!K17</f>
        <v>1.9232223341223768E-2</v>
      </c>
    </row>
    <row r="8" spans="2:14" ht="27.95" customHeight="1" x14ac:dyDescent="0.25">
      <c r="B8" s="217"/>
      <c r="C8" s="130" t="s">
        <v>152</v>
      </c>
      <c r="D8" s="126">
        <f>('Balance Sheet'!D25+'Balance Sheet'!D27)/'Balance Sheet'!D32</f>
        <v>0.18849140679867932</v>
      </c>
      <c r="E8" s="126">
        <f>('Balance Sheet'!E25+'Balance Sheet'!E27)/'Balance Sheet'!E32</f>
        <v>0.13416256072674024</v>
      </c>
      <c r="F8" s="126">
        <f>('Balance Sheet'!F25+'Balance Sheet'!F27)/'Balance Sheet'!F32</f>
        <v>0.14021472396753648</v>
      </c>
      <c r="G8" s="134">
        <f>('Balance Sheet'!G25+'Balance Sheet'!G27)/'Balance Sheet'!G32</f>
        <v>0.10774082864175817</v>
      </c>
      <c r="H8" s="134">
        <f>('Balance Sheet'!H25+'Balance Sheet'!H27)/'Balance Sheet'!H32</f>
        <v>8.4940989297525055E-2</v>
      </c>
      <c r="I8" s="134">
        <f>('Balance Sheet'!I25+'Balance Sheet'!I27)/'Balance Sheet'!I32</f>
        <v>6.6861959926114031E-2</v>
      </c>
      <c r="J8" s="207">
        <f>('Balance Sheet'!J25+'Balance Sheet'!J27)/'Balance Sheet'!J32</f>
        <v>5.2253501453568572E-2</v>
      </c>
      <c r="K8" s="207">
        <f>('Balance Sheet'!K25+'Balance Sheet'!K27)/'Balance Sheet'!K32</f>
        <v>4.0263061601099277E-2</v>
      </c>
    </row>
    <row r="9" spans="2:14" ht="27.95" customHeight="1" x14ac:dyDescent="0.25">
      <c r="B9" s="217"/>
      <c r="C9" s="130" t="s">
        <v>153</v>
      </c>
      <c r="D9" s="126">
        <f>('P&amp;L'!D12/'P&amp;L'!D13)</f>
        <v>5.7037030879156072</v>
      </c>
      <c r="E9" s="126">
        <f>('P&amp;L'!E12/'P&amp;L'!E13)</f>
        <v>7.1826496497317214</v>
      </c>
      <c r="F9" s="126">
        <f>('P&amp;L'!F12/'P&amp;L'!F13)</f>
        <v>6.4560766852490898</v>
      </c>
      <c r="G9" s="134">
        <f>('P&amp;L'!G12/'P&amp;L'!G13)</f>
        <v>14.410158495010643</v>
      </c>
      <c r="H9" s="134">
        <f>('P&amp;L'!H12/'P&amp;L'!H13)</f>
        <v>17.036762237906061</v>
      </c>
      <c r="I9" s="134">
        <f>('P&amp;L'!I12/'P&amp;L'!I13)</f>
        <v>20.142521060774346</v>
      </c>
      <c r="J9" s="134">
        <f>('P&amp;L'!J12/'P&amp;L'!J13)</f>
        <v>23.814914503138755</v>
      </c>
      <c r="K9" s="134">
        <f>('P&amp;L'!K12/'P&amp;L'!K13)</f>
        <v>28.157405845530405</v>
      </c>
    </row>
    <row r="10" spans="2:14" ht="27.95" customHeight="1" x14ac:dyDescent="0.25">
      <c r="B10" s="217"/>
      <c r="C10" s="131" t="s">
        <v>160</v>
      </c>
      <c r="D10" s="126">
        <f>-('P&amp;L'!D10/'Financial Liabilities'!$C$12)</f>
        <v>10.145558673176412</v>
      </c>
      <c r="E10" s="126">
        <f>-('P&amp;L'!E10/'Financial Liabilities'!$C$12)</f>
        <v>11.6268168619089</v>
      </c>
      <c r="F10" s="126">
        <f>-('P&amp;L'!F10/'Financial Liabilities'!$C$12)</f>
        <v>8.3941439174538868</v>
      </c>
      <c r="G10" s="134">
        <f>-('P&amp;L'!G10/'Financial Liabilities'!$C$12)</f>
        <v>15.645179486711852</v>
      </c>
      <c r="H10" s="134">
        <f>-('P&amp;L'!H10/'Financial Liabilities'!$C$12)</f>
        <v>17.001137289523335</v>
      </c>
      <c r="I10" s="134">
        <f>-('P&amp;L'!I10/'Financial Liabilities'!$C$12)</f>
        <v>18.474962626508397</v>
      </c>
      <c r="J10" s="134">
        <f>-('P&amp;L'!J10/'Financial Liabilities'!$C$12)</f>
        <v>20.076930082296386</v>
      </c>
      <c r="K10" s="134">
        <f>-('P&amp;L'!K10/'Financial Liabilities'!$C$12)</f>
        <v>21.818212274657469</v>
      </c>
    </row>
    <row r="11" spans="2:14" ht="27.95" customHeight="1" x14ac:dyDescent="0.25">
      <c r="B11" s="217" t="s">
        <v>146</v>
      </c>
      <c r="C11" s="130" t="s">
        <v>154</v>
      </c>
      <c r="D11" s="126">
        <f>'P&amp;L'!D4/'Balance Sheet'!D17</f>
        <v>0.72018434906493056</v>
      </c>
      <c r="E11" s="126">
        <f>'P&amp;L'!E4/'Balance Sheet'!E17</f>
        <v>0.76446626060428713</v>
      </c>
      <c r="F11" s="126">
        <f>'P&amp;L'!F4/'Balance Sheet'!F17</f>
        <v>0.73835624823194446</v>
      </c>
      <c r="G11" s="134">
        <f>'P&amp;L'!G4/'Balance Sheet'!G17</f>
        <v>0.7571003290549484</v>
      </c>
      <c r="H11" s="134">
        <f>'P&amp;L'!H4/'Balance Sheet'!H17</f>
        <v>0.73681527323184381</v>
      </c>
      <c r="I11" s="134">
        <f>'P&amp;L'!I4/'Balance Sheet'!I17</f>
        <v>0.71884857158892301</v>
      </c>
      <c r="J11" s="134">
        <f>'P&amp;L'!J4/'Balance Sheet'!J17</f>
        <v>0.70290816691690439</v>
      </c>
      <c r="K11" s="134">
        <f>'P&amp;L'!K4/'Balance Sheet'!K17</f>
        <v>0.68874396697098683</v>
      </c>
    </row>
    <row r="12" spans="2:14" ht="27.95" customHeight="1" x14ac:dyDescent="0.25">
      <c r="B12" s="217"/>
      <c r="C12" s="131" t="s">
        <v>155</v>
      </c>
      <c r="D12" s="126">
        <f>('P&amp;L'!D7/'Balance Sheet'!D7)</f>
        <v>29.486536380599667</v>
      </c>
      <c r="E12" s="126">
        <f>('P&amp;L'!E7/'Balance Sheet'!E7)</f>
        <v>34.002327312527768</v>
      </c>
      <c r="F12" s="126">
        <f>('P&amp;L'!F7/'Balance Sheet'!F7)</f>
        <v>34.004757621406043</v>
      </c>
      <c r="G12" s="134">
        <f>('P&amp;L'!G7/'Balance Sheet'!G7)</f>
        <v>34.004757621406043</v>
      </c>
      <c r="H12" s="134">
        <f>('P&amp;L'!H7/'Balance Sheet'!H7)</f>
        <v>34.00475762140605</v>
      </c>
      <c r="I12" s="134">
        <f>('P&amp;L'!I7/'Balance Sheet'!I7)</f>
        <v>34.004757621406043</v>
      </c>
      <c r="J12" s="134">
        <f>('P&amp;L'!J7/'Balance Sheet'!J7)</f>
        <v>34.004757621406043</v>
      </c>
      <c r="K12" s="134">
        <f>('P&amp;L'!K7/'Balance Sheet'!K7)</f>
        <v>34.004757621406043</v>
      </c>
      <c r="M12" s="75"/>
      <c r="N12" s="75"/>
    </row>
    <row r="13" spans="2:14" ht="27.95" customHeight="1" x14ac:dyDescent="0.25">
      <c r="B13" s="218" t="s">
        <v>147</v>
      </c>
      <c r="C13" s="130" t="s">
        <v>158</v>
      </c>
      <c r="D13" s="132">
        <f>'P&amp;L'!D8/'P&amp;L'!D6</f>
        <v>0.21094382771385004</v>
      </c>
      <c r="E13" s="132">
        <f>'P&amp;L'!E8/'P&amp;L'!E6</f>
        <v>0.22008720309907898</v>
      </c>
      <c r="F13" s="132">
        <f>'P&amp;L'!F8/'P&amp;L'!F6</f>
        <v>0.22062893981580334</v>
      </c>
      <c r="G13" s="135">
        <f>'P&amp;L'!G8/'P&amp;L'!G6</f>
        <v>0.2362347813901689</v>
      </c>
      <c r="H13" s="135">
        <f>'P&amp;L'!H8/'P&amp;L'!H6</f>
        <v>0.23591727714215577</v>
      </c>
      <c r="I13" s="135">
        <f>'P&amp;L'!I8/'P&amp;L'!I6</f>
        <v>0.23560242531260472</v>
      </c>
      <c r="J13" s="135">
        <f>'P&amp;L'!J8/'P&amp;L'!J6</f>
        <v>0.23529020600840286</v>
      </c>
      <c r="K13" s="135">
        <f>'P&amp;L'!K8/'P&amp;L'!K6</f>
        <v>0.23498059944594904</v>
      </c>
      <c r="M13" s="75"/>
      <c r="N13" s="75"/>
    </row>
    <row r="14" spans="2:14" ht="27.95" customHeight="1" x14ac:dyDescent="0.25">
      <c r="B14" s="215"/>
      <c r="C14" s="130" t="s">
        <v>159</v>
      </c>
      <c r="D14" s="132">
        <f>'P&amp;L'!D12/'P&amp;L'!D6</f>
        <v>0.1042902434288203</v>
      </c>
      <c r="E14" s="132">
        <f>'P&amp;L'!E12/'P&amp;L'!E6</f>
        <v>0.10642063320776836</v>
      </c>
      <c r="F14" s="132">
        <f>'P&amp;L'!F12/'P&amp;L'!F6</f>
        <v>6.7167987405754151E-2</v>
      </c>
      <c r="G14" s="135">
        <f>'P&amp;L'!G12/'P&amp;L'!G6</f>
        <v>0.12644353121500571</v>
      </c>
      <c r="H14" s="135">
        <f>'P&amp;L'!H12/'P&amp;L'!H6</f>
        <v>0.12608038573134067</v>
      </c>
      <c r="I14" s="135">
        <f>'P&amp;L'!I12/'P&amp;L'!I6</f>
        <v>0.12572027395129165</v>
      </c>
      <c r="J14" s="135">
        <f>'P&amp;L'!J12/'P&amp;L'!J6</f>
        <v>0.12536317312211079</v>
      </c>
      <c r="K14" s="135">
        <f>'P&amp;L'!K12/'P&amp;L'!K6</f>
        <v>0.12500906061630424</v>
      </c>
      <c r="M14" s="75"/>
      <c r="N14" s="75"/>
    </row>
    <row r="15" spans="2:14" ht="27.95" customHeight="1" x14ac:dyDescent="0.25">
      <c r="B15" s="215"/>
      <c r="C15" s="130" t="s">
        <v>156</v>
      </c>
      <c r="D15" s="132">
        <f>'P&amp;L'!D16/'Balance Sheet'!D17</f>
        <v>5.3081853091140975E-2</v>
      </c>
      <c r="E15" s="132">
        <f>'P&amp;L'!E16/'Balance Sheet'!E17</f>
        <v>5.8314198298593467E-2</v>
      </c>
      <c r="F15" s="132">
        <f>'P&amp;L'!F16/'Balance Sheet'!F17</f>
        <v>3.020651082665074E-2</v>
      </c>
      <c r="G15" s="135">
        <f>'P&amp;L'!G16/'Balance Sheet'!G17</f>
        <v>7.9316627483869612E-2</v>
      </c>
      <c r="H15" s="135">
        <f>'P&amp;L'!H16/'Balance Sheet'!H17</f>
        <v>7.782234432088396E-2</v>
      </c>
      <c r="I15" s="135">
        <f>'P&amp;L'!I16/'Balance Sheet'!I17</f>
        <v>7.6404273799382638E-2</v>
      </c>
      <c r="J15" s="135">
        <f>'P&amp;L'!J16/'Balance Sheet'!J17</f>
        <v>7.5067273926669564E-2</v>
      </c>
      <c r="K15" s="135">
        <f>'P&amp;L'!K16/'Balance Sheet'!K17</f>
        <v>7.3812753282675475E-2</v>
      </c>
      <c r="M15" s="128"/>
    </row>
    <row r="16" spans="2:14" ht="27.95" customHeight="1" x14ac:dyDescent="0.25">
      <c r="B16" s="216"/>
      <c r="C16" s="131" t="s">
        <v>157</v>
      </c>
      <c r="D16" s="132">
        <f>'P&amp;L'!D16/'Balance Sheet'!D32</f>
        <v>0.14444119818604195</v>
      </c>
      <c r="E16" s="132">
        <f>'P&amp;L'!E16/'Balance Sheet'!E32</f>
        <v>0.15120095961045876</v>
      </c>
      <c r="F16" s="132">
        <f>'P&amp;L'!F16/'Balance Sheet'!F32</f>
        <v>8.4353755187306936E-2</v>
      </c>
      <c r="G16" s="135">
        <f>'P&amp;L'!G16/'Balance Sheet'!G32</f>
        <v>0.19657550189107073</v>
      </c>
      <c r="H16" s="135">
        <f>'P&amp;L'!H16/'Balance Sheet'!H32</f>
        <v>0.1828409288665076</v>
      </c>
      <c r="I16" s="135">
        <f>'P&amp;L'!I16/'Balance Sheet'!I32</f>
        <v>0.17163986768345255</v>
      </c>
      <c r="J16" s="135">
        <f>'P&amp;L'!J16/'Balance Sheet'!J32</f>
        <v>0.16234673990355145</v>
      </c>
      <c r="K16" s="135">
        <f>'P&amp;L'!K16/'Balance Sheet'!K32</f>
        <v>0.15452854200153016</v>
      </c>
    </row>
  </sheetData>
  <sheetProtection algorithmName="SHA-512" hashValue="uhN6tTk9FMYwP2YXTx5dYFSo99IKpucmaSJgltatP4fzrfWhfNCI9/rMsm0CA96L9X9TBw74DWMcATQ8VhsbYA==" saltValue="icX/pQKQ0P1VQtEaXqUlmw==" spinCount="100000" sheet="1" objects="1" scenarios="1"/>
  <mergeCells count="4">
    <mergeCell ref="B4:B6"/>
    <mergeCell ref="B7:B10"/>
    <mergeCell ref="B11:B12"/>
    <mergeCell ref="B13:B1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59C5D-5706-4594-A3AD-B396BB624D88}">
  <sheetPr codeName="Sheet11">
    <tabColor rgb="FF002060"/>
  </sheetPr>
  <dimension ref="B1:B11"/>
  <sheetViews>
    <sheetView workbookViewId="0"/>
  </sheetViews>
  <sheetFormatPr defaultRowHeight="12" x14ac:dyDescent="0.2"/>
  <cols>
    <col min="1" max="1" width="2" style="31" customWidth="1"/>
    <col min="2" max="16384" width="9.140625" style="31"/>
  </cols>
  <sheetData>
    <row r="1" spans="2:2" ht="15.75" x14ac:dyDescent="0.25">
      <c r="B1" s="30"/>
    </row>
    <row r="11" spans="2:2" ht="41.25" x14ac:dyDescent="0.6">
      <c r="B11" s="32" t="s">
        <v>92</v>
      </c>
    </row>
  </sheetData>
  <sheetProtection algorithmName="SHA-512" hashValue="UNRiSfXRwR6vVZ0DBA24ZHJJ+wFHivqPFnfBtVqpKTkrevFLLW1i0vfy/ykNN/pS8tHq6vM6In7USnnfMKjkHA==" saltValue="KFirFP7wmvSaKiE6+pDH5g==" spinCount="100000" sheet="1" objects="1" scenarios="1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C392C-0843-4381-94A0-B98F0CDA049D}">
  <sheetPr codeName="Sheet12">
    <tabColor rgb="FF0070C0"/>
  </sheetPr>
  <dimension ref="B1:K22"/>
  <sheetViews>
    <sheetView showGridLines="0" workbookViewId="0"/>
  </sheetViews>
  <sheetFormatPr defaultRowHeight="15" x14ac:dyDescent="0.25"/>
  <cols>
    <col min="1" max="1" width="2.42578125" customWidth="1"/>
    <col min="2" max="2" width="27" bestFit="1" customWidth="1"/>
    <col min="3" max="3" width="10" bestFit="1" customWidth="1"/>
    <col min="6" max="6" width="3.85546875" customWidth="1"/>
  </cols>
  <sheetData>
    <row r="1" spans="2:11" x14ac:dyDescent="0.25">
      <c r="B1" s="74" t="s">
        <v>93</v>
      </c>
    </row>
    <row r="3" spans="2:11" ht="39.75" customHeight="1" thickBot="1" x14ac:dyDescent="0.3">
      <c r="B3" s="92" t="s">
        <v>94</v>
      </c>
      <c r="C3" s="85" t="str">
        <f>'P&amp;L'!D3</f>
        <v>FY 2024
Actuals</v>
      </c>
      <c r="D3" s="85" t="str">
        <f>'P&amp;L'!E3</f>
        <v>FY 2025
Actuals</v>
      </c>
      <c r="E3" s="85" t="str">
        <f>'P&amp;L'!F3</f>
        <v>FY 2026
Actuals</v>
      </c>
      <c r="F3" s="79"/>
      <c r="G3" s="84" t="str">
        <f>'P&amp;L'!G3</f>
        <v>FY 2027
Forecast</v>
      </c>
      <c r="H3" s="84" t="str">
        <f>'P&amp;L'!H3</f>
        <v>FY 2028
Forecast</v>
      </c>
      <c r="I3" s="84" t="str">
        <f>'P&amp;L'!I3</f>
        <v>FY 2029
Forecast</v>
      </c>
      <c r="J3" s="84" t="str">
        <f>'P&amp;L'!J3</f>
        <v>FY 2030
Forecast</v>
      </c>
      <c r="K3" s="84" t="str">
        <f>'P&amp;L'!K3</f>
        <v>FY 2031
Forecast</v>
      </c>
    </row>
    <row r="4" spans="2:11" x14ac:dyDescent="0.25">
      <c r="B4" t="s">
        <v>95</v>
      </c>
      <c r="C4" s="75">
        <f>'P&amp;L'!D4</f>
        <v>126235.85</v>
      </c>
      <c r="D4" s="75">
        <f>'P&amp;L'!E4</f>
        <v>142509.01</v>
      </c>
      <c r="E4" s="75">
        <f>'P&amp;L'!F4</f>
        <v>153680.17000000001</v>
      </c>
      <c r="F4" s="80"/>
      <c r="G4" s="94">
        <f>'P&amp;L'!G4</f>
        <v>167511.38530000002</v>
      </c>
      <c r="H4" s="94">
        <f>'P&amp;L'!H4</f>
        <v>182587.40997700003</v>
      </c>
      <c r="I4" s="94">
        <f>'P&amp;L'!I4</f>
        <v>199020.27687493004</v>
      </c>
      <c r="J4" s="94">
        <f>'P&amp;L'!J4</f>
        <v>216932.10179367376</v>
      </c>
      <c r="K4" s="94">
        <f>'P&amp;L'!K4</f>
        <v>236455.99095510441</v>
      </c>
    </row>
    <row r="5" spans="2:11" x14ac:dyDescent="0.25">
      <c r="B5" t="s">
        <v>7</v>
      </c>
      <c r="C5" s="75">
        <f>'P&amp;L'!D10</f>
        <v>15473.150000000005</v>
      </c>
      <c r="D5" s="75">
        <f>'P&amp;L'!E10</f>
        <v>17732.240000000005</v>
      </c>
      <c r="E5" s="75">
        <f>'P&amp;L'!F10</f>
        <v>12802.04000000003</v>
      </c>
      <c r="F5" s="80"/>
      <c r="G5" s="94">
        <f>'P&amp;L'!G10</f>
        <v>23860.707603499981</v>
      </c>
      <c r="H5" s="94">
        <f>'P&amp;L'!H10</f>
        <v>25928.700027815015</v>
      </c>
      <c r="I5" s="94">
        <f>'P&amp;L'!I10</f>
        <v>28176.454069518331</v>
      </c>
      <c r="J5" s="94">
        <f>'P&amp;L'!J10</f>
        <v>30619.639658110995</v>
      </c>
      <c r="K5" s="94">
        <f>'P&amp;L'!K10</f>
        <v>33275.296327463875</v>
      </c>
    </row>
    <row r="6" spans="2:11" x14ac:dyDescent="0.25">
      <c r="B6" s="65" t="s">
        <v>96</v>
      </c>
      <c r="C6" s="78">
        <f>C5/C4</f>
        <v>0.12257334188346658</v>
      </c>
      <c r="D6" s="78">
        <f t="shared" ref="D6:K6" si="0">D5/D4</f>
        <v>0.12442890453031709</v>
      </c>
      <c r="E6" s="78">
        <f t="shared" si="0"/>
        <v>8.3303135336198736E-2</v>
      </c>
      <c r="F6" s="81"/>
      <c r="G6" s="95">
        <f t="shared" si="0"/>
        <v>0.14244230361278004</v>
      </c>
      <c r="H6" s="95">
        <f t="shared" si="0"/>
        <v>0.14200705312091985</v>
      </c>
      <c r="I6" s="95">
        <f t="shared" si="0"/>
        <v>0.14157579575283782</v>
      </c>
      <c r="J6" s="95">
        <f t="shared" si="0"/>
        <v>0.14114849487437148</v>
      </c>
      <c r="K6" s="95">
        <f t="shared" si="0"/>
        <v>0.14072511418745068</v>
      </c>
    </row>
    <row r="7" spans="2:11" x14ac:dyDescent="0.25">
      <c r="B7" t="s">
        <v>97</v>
      </c>
      <c r="C7" s="75">
        <f>'P&amp;L'!D16</f>
        <v>9304.3300000000054</v>
      </c>
      <c r="D7" s="75">
        <f>'P&amp;L'!E16</f>
        <v>10870.720000000005</v>
      </c>
      <c r="E7" s="75">
        <f>'P&amp;L'!F16</f>
        <v>6287.1300000000301</v>
      </c>
      <c r="F7" s="80"/>
      <c r="G7" s="94">
        <f>'P&amp;L'!G16</f>
        <v>17549.111573801412</v>
      </c>
      <c r="H7" s="94">
        <f>'P&amp;L'!H16</f>
        <v>19284.861218420243</v>
      </c>
      <c r="I7" s="94">
        <f>'P&amp;L'!I16</f>
        <v>21153.272506851026</v>
      </c>
      <c r="J7" s="94">
        <f>'P&amp;L'!J16</f>
        <v>23167.324375047385</v>
      </c>
      <c r="K7" s="94">
        <f>'P&amp;L'!K16</f>
        <v>25341.009953724777</v>
      </c>
    </row>
    <row r="8" spans="2:11" x14ac:dyDescent="0.25">
      <c r="B8" s="65" t="s">
        <v>98</v>
      </c>
      <c r="C8" s="78">
        <f>C7/C4</f>
        <v>7.3705924267947698E-2</v>
      </c>
      <c r="D8" s="78">
        <f t="shared" ref="D8:K8" si="1">D7/D4</f>
        <v>7.628093128988829E-2</v>
      </c>
      <c r="E8" s="78">
        <f t="shared" si="1"/>
        <v>4.0910483115681288E-2</v>
      </c>
      <c r="F8" s="81"/>
      <c r="G8" s="95">
        <f t="shared" si="1"/>
        <v>0.1047636943743991</v>
      </c>
      <c r="H8" s="95">
        <f t="shared" si="1"/>
        <v>0.10561988485870684</v>
      </c>
      <c r="I8" s="95">
        <f t="shared" si="1"/>
        <v>0.10628702180001659</v>
      </c>
      <c r="J8" s="95">
        <f t="shared" si="1"/>
        <v>0.1067952791840926</v>
      </c>
      <c r="K8" s="95">
        <f t="shared" si="1"/>
        <v>0.10717009051606666</v>
      </c>
    </row>
    <row r="22" ht="15" customHeight="1" x14ac:dyDescent="0.25"/>
  </sheetData>
  <sheetProtection algorithmName="SHA-512" hashValue="cZk+3bwFF3SXfqM/ItubC/GlftI8oQEv9OagSktW/S6uQLJATdSXo7K20DE6mGojrAepFxUm1jV/VoUBEVc8vQ==" saltValue="KH4hXgxko6ggxiwtjnG/xQ==" spinCount="100000" sheet="1" objects="1" scenarios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32B74-AB73-478D-A39A-3F7810364B02}">
  <sheetPr codeName="Sheet13">
    <tabColor rgb="FF0070C0"/>
  </sheetPr>
  <dimension ref="B1:P51"/>
  <sheetViews>
    <sheetView showGridLines="0" workbookViewId="0"/>
  </sheetViews>
  <sheetFormatPr defaultRowHeight="15" x14ac:dyDescent="0.25"/>
  <cols>
    <col min="1" max="1" width="2.42578125" customWidth="1"/>
    <col min="2" max="2" width="35.140625" bestFit="1" customWidth="1"/>
    <col min="3" max="3" width="11.7109375" bestFit="1" customWidth="1"/>
    <col min="12" max="12" width="11.7109375" bestFit="1" customWidth="1"/>
    <col min="13" max="13" width="15.140625" bestFit="1" customWidth="1"/>
    <col min="14" max="15" width="14.28515625" bestFit="1" customWidth="1"/>
  </cols>
  <sheetData>
    <row r="1" spans="2:15" ht="15.75" x14ac:dyDescent="0.25">
      <c r="B1" s="7" t="s">
        <v>315</v>
      </c>
    </row>
    <row r="2" spans="2:15" x14ac:dyDescent="0.25">
      <c r="B2" s="74"/>
    </row>
    <row r="3" spans="2:15" x14ac:dyDescent="0.25">
      <c r="B3" s="87"/>
      <c r="C3" s="90" t="str">
        <f>_xlfn.XLOOKUP($B$13,$N$7:$N$14,$M$7:$M$14)</f>
        <v>FY 2026
Actuals</v>
      </c>
    </row>
    <row r="4" spans="2:15" x14ac:dyDescent="0.25">
      <c r="B4" s="74"/>
      <c r="C4" s="90" t="str">
        <f>_xlfn.XLOOKUP($B$17,$N$7:$N$14,$M$7:$M$14)</f>
        <v>FY 2027
Forecast</v>
      </c>
    </row>
    <row r="6" spans="2:15" ht="39.75" customHeight="1" thickBot="1" x14ac:dyDescent="0.3">
      <c r="B6" s="92" t="s">
        <v>94</v>
      </c>
      <c r="C6" s="85" t="str">
        <f>'P&amp;L'!D3</f>
        <v>FY 2024
Actuals</v>
      </c>
      <c r="D6" s="85" t="str">
        <f>'P&amp;L'!E3</f>
        <v>FY 2025
Actuals</v>
      </c>
      <c r="E6" s="85" t="str">
        <f>'P&amp;L'!F3</f>
        <v>FY 2026
Actuals</v>
      </c>
      <c r="F6" s="84" t="str">
        <f>'P&amp;L'!G3</f>
        <v>FY 2027
Forecast</v>
      </c>
      <c r="G6" s="84" t="str">
        <f>'P&amp;L'!H3</f>
        <v>FY 2028
Forecast</v>
      </c>
      <c r="H6" s="84" t="str">
        <f>'P&amp;L'!I3</f>
        <v>FY 2029
Forecast</v>
      </c>
      <c r="I6" s="84" t="str">
        <f>'P&amp;L'!J3</f>
        <v>FY 2030
Forecast</v>
      </c>
      <c r="J6" s="84" t="str">
        <f>'P&amp;L'!K3</f>
        <v>FY 2031
Forecast</v>
      </c>
    </row>
    <row r="7" spans="2:15" x14ac:dyDescent="0.25">
      <c r="B7" t="s">
        <v>102</v>
      </c>
      <c r="C7" s="93"/>
      <c r="D7" s="93">
        <f>'P&amp;L'!E6-'P&amp;L'!D6</f>
        <v>16601.76999999999</v>
      </c>
      <c r="E7" s="93">
        <f>'P&amp;L'!F6-'P&amp;L'!E6</f>
        <v>12860.400000000023</v>
      </c>
      <c r="F7" s="96">
        <f>'P&amp;L'!G6-'P&amp;L'!F6</f>
        <v>14419.891299999988</v>
      </c>
      <c r="G7" s="96">
        <f>'P&amp;L'!H6-'P&amp;L'!G6</f>
        <v>15711.794757000025</v>
      </c>
      <c r="H7" s="96">
        <f>'P&amp;L'!I6-'P&amp;L'!H6</f>
        <v>17119.498584329995</v>
      </c>
      <c r="I7" s="96">
        <f>'P&amp;L'!J6-'P&amp;L'!I6</f>
        <v>18653.38714005574</v>
      </c>
      <c r="J7" s="96">
        <f>'P&amp;L'!K6-'P&amp;L'!J6</f>
        <v>20324.776360447606</v>
      </c>
      <c r="M7" s="91" t="s">
        <v>266</v>
      </c>
      <c r="N7" s="91" t="str">
        <f>CONCATENATE("EBITDA"," ",LEFT(M7,7))</f>
        <v>EBITDA FY 2024</v>
      </c>
      <c r="O7" s="91" t="str">
        <f>N8</f>
        <v>EBITDA FY 2025</v>
      </c>
    </row>
    <row r="8" spans="2:15" x14ac:dyDescent="0.25">
      <c r="B8" t="s">
        <v>100</v>
      </c>
      <c r="C8" s="75"/>
      <c r="D8" s="93">
        <f>'P&amp;L'!E7-'P&amp;L'!D7</f>
        <v>11744.87999999999</v>
      </c>
      <c r="E8" s="93">
        <f>'P&amp;L'!F7-'P&amp;L'!E7</f>
        <v>9942.75</v>
      </c>
      <c r="F8" s="96">
        <f>'P&amp;L'!G7-'P&amp;L'!F7</f>
        <v>8500.268240000034</v>
      </c>
      <c r="G8" s="96">
        <f>'P&amp;L'!H7-'P&amp;L'!G7</f>
        <v>12060.819741599989</v>
      </c>
      <c r="H8" s="96">
        <f>'P&amp;L'!I7-'P&amp;L'!H7</f>
        <v>13146.293518344028</v>
      </c>
      <c r="I8" s="96">
        <f>'P&amp;L'!J7-'P&amp;L'!I7</f>
        <v>14329.459934994986</v>
      </c>
      <c r="J8" s="96">
        <f>'P&amp;L'!K7-'P&amp;L'!J7</f>
        <v>15619.111329144507</v>
      </c>
      <c r="M8" s="91" t="s">
        <v>267</v>
      </c>
      <c r="N8" s="91" t="str">
        <f t="shared" ref="N8:N14" si="0">CONCATENATE("EBITDA"," ",LEFT(M8,7))</f>
        <v>EBITDA FY 2025</v>
      </c>
      <c r="O8" s="91" t="str">
        <f t="shared" ref="O8:O13" si="1">N9</f>
        <v>EBITDA FY 2026</v>
      </c>
    </row>
    <row r="9" spans="2:15" x14ac:dyDescent="0.25">
      <c r="B9" t="s">
        <v>101</v>
      </c>
      <c r="C9" s="78"/>
      <c r="D9" s="89">
        <f>'P&amp;L'!E9-'P&amp;L'!D9</f>
        <v>2597.7999999999993</v>
      </c>
      <c r="E9" s="89">
        <f>'P&amp;L'!F9-'P&amp;L'!E9</f>
        <v>7847.8499999999985</v>
      </c>
      <c r="F9" s="97">
        <f>'P&amp;L'!G9-'P&amp;L'!F9</f>
        <v>-5139.0445434999965</v>
      </c>
      <c r="G9" s="97">
        <f>'P&amp;L'!H9-'P&amp;L'!G9</f>
        <v>1582.9825910850013</v>
      </c>
      <c r="H9" s="97">
        <f>'P&amp;L'!I9-'P&amp;L'!H9</f>
        <v>1725.4510242826509</v>
      </c>
      <c r="I9" s="97">
        <f>'P&amp;L'!J9-'P&amp;L'!I9</f>
        <v>1880.7416164680908</v>
      </c>
      <c r="J9" s="97">
        <f>'P&amp;L'!K9-'P&amp;L'!J9</f>
        <v>2050.0083619502184</v>
      </c>
      <c r="M9" s="91" t="s">
        <v>268</v>
      </c>
      <c r="N9" s="91" t="str">
        <f t="shared" si="0"/>
        <v>EBITDA FY 2026</v>
      </c>
      <c r="O9" s="91" t="str">
        <f t="shared" si="1"/>
        <v>EBITDA FY 2027</v>
      </c>
    </row>
    <row r="10" spans="2:15" x14ac:dyDescent="0.25">
      <c r="B10" t="s">
        <v>7</v>
      </c>
      <c r="C10" s="89">
        <f>'P&amp;L'!D10</f>
        <v>15473.150000000005</v>
      </c>
      <c r="D10" s="89">
        <f>'P&amp;L'!E10</f>
        <v>17732.240000000005</v>
      </c>
      <c r="E10" s="89">
        <f>'P&amp;L'!F10</f>
        <v>12802.04000000003</v>
      </c>
      <c r="F10" s="97">
        <f>'P&amp;L'!G10</f>
        <v>23860.707603499981</v>
      </c>
      <c r="G10" s="97">
        <f>'P&amp;L'!H10</f>
        <v>25928.700027815015</v>
      </c>
      <c r="H10" s="97">
        <f>'P&amp;L'!I10</f>
        <v>28176.454069518331</v>
      </c>
      <c r="I10" s="97">
        <f>'P&amp;L'!J10</f>
        <v>30619.639658110995</v>
      </c>
      <c r="J10" s="97">
        <f>'P&amp;L'!K10</f>
        <v>33275.296327463875</v>
      </c>
      <c r="M10" s="91" t="s">
        <v>269</v>
      </c>
      <c r="N10" s="91" t="str">
        <f t="shared" si="0"/>
        <v>EBITDA FY 2027</v>
      </c>
      <c r="O10" s="91" t="str">
        <f t="shared" si="1"/>
        <v>EBITDA FY 2028</v>
      </c>
    </row>
    <row r="11" spans="2:15" x14ac:dyDescent="0.25">
      <c r="C11" s="75"/>
      <c r="D11" s="75"/>
      <c r="E11" s="75"/>
      <c r="F11" s="75"/>
      <c r="G11" s="75"/>
      <c r="H11" s="75"/>
      <c r="I11" s="75"/>
      <c r="J11" s="75"/>
      <c r="M11" s="91" t="s">
        <v>270</v>
      </c>
      <c r="N11" s="91" t="str">
        <f t="shared" si="0"/>
        <v>EBITDA FY 2028</v>
      </c>
      <c r="O11" s="91" t="str">
        <f t="shared" si="1"/>
        <v>EBITDA FY 2029</v>
      </c>
    </row>
    <row r="12" spans="2:15" x14ac:dyDescent="0.25">
      <c r="B12" s="74" t="s">
        <v>137</v>
      </c>
      <c r="C12" s="75"/>
      <c r="D12" s="75"/>
      <c r="E12" s="75"/>
      <c r="F12" s="75"/>
      <c r="G12" s="75"/>
      <c r="H12" s="75"/>
      <c r="I12" s="75"/>
      <c r="J12" s="75"/>
      <c r="M12" s="91" t="s">
        <v>271</v>
      </c>
      <c r="N12" s="91" t="str">
        <f t="shared" si="0"/>
        <v>EBITDA FY 2029</v>
      </c>
      <c r="O12" s="91" t="str">
        <f t="shared" si="1"/>
        <v>EBITDA FY 2030</v>
      </c>
    </row>
    <row r="13" spans="2:15" x14ac:dyDescent="0.25">
      <c r="B13" s="74" t="s">
        <v>314</v>
      </c>
      <c r="C13" s="124">
        <f>HLOOKUP($C$3,$6:$10,5,FALSE)</f>
        <v>12802.04000000003</v>
      </c>
      <c r="D13" s="75"/>
      <c r="E13" s="75"/>
      <c r="F13" s="75"/>
      <c r="G13" s="75"/>
      <c r="H13" s="75"/>
      <c r="I13" s="75"/>
      <c r="J13" s="75"/>
      <c r="M13" s="91" t="s">
        <v>272</v>
      </c>
      <c r="N13" s="91" t="str">
        <f t="shared" si="0"/>
        <v>EBITDA FY 2030</v>
      </c>
      <c r="O13" s="91" t="str">
        <f t="shared" si="1"/>
        <v>EBITDA FY 2031</v>
      </c>
    </row>
    <row r="14" spans="2:15" x14ac:dyDescent="0.25">
      <c r="B14" t="s">
        <v>99</v>
      </c>
      <c r="C14" s="75">
        <f>HLOOKUP($C$4,$6:$10,2,FALSE)</f>
        <v>14419.891299999988</v>
      </c>
      <c r="D14" s="75"/>
      <c r="E14" s="75"/>
      <c r="F14" s="75"/>
      <c r="G14" s="75"/>
      <c r="H14" s="75"/>
      <c r="I14" s="75"/>
      <c r="J14" s="75"/>
      <c r="M14" s="91" t="s">
        <v>273</v>
      </c>
      <c r="N14" s="91" t="str">
        <f t="shared" si="0"/>
        <v>EBITDA FY 2031</v>
      </c>
      <c r="O14" s="91"/>
    </row>
    <row r="15" spans="2:15" x14ac:dyDescent="0.25">
      <c r="B15" t="s">
        <v>100</v>
      </c>
      <c r="C15" s="75">
        <f>HLOOKUP($C$4,$6:$10,3,FALSE)</f>
        <v>8500.268240000034</v>
      </c>
      <c r="D15" s="75"/>
      <c r="E15" s="75"/>
      <c r="F15" s="75"/>
      <c r="G15" s="75"/>
      <c r="H15" s="75"/>
      <c r="I15" s="75"/>
      <c r="J15" s="75"/>
    </row>
    <row r="16" spans="2:15" x14ac:dyDescent="0.25">
      <c r="B16" t="s">
        <v>101</v>
      </c>
      <c r="C16" s="75">
        <f>HLOOKUP($C$4,$6:$10,4,FALSE)</f>
        <v>-5139.0445434999965</v>
      </c>
      <c r="D16" s="78"/>
      <c r="E16" s="78"/>
      <c r="F16" s="78"/>
      <c r="G16" s="78"/>
      <c r="H16" s="78"/>
      <c r="I16" s="78"/>
      <c r="J16" s="78"/>
    </row>
    <row r="17" spans="2:16" x14ac:dyDescent="0.25">
      <c r="B17" s="74" t="str">
        <f>VLOOKUP($B$13,$N$7:$O$14,2,FALSE)</f>
        <v>EBITDA FY 2027</v>
      </c>
      <c r="C17" s="124">
        <f>HLOOKUP($C$4,$6:$10,5,FALSE)</f>
        <v>23860.707603499981</v>
      </c>
      <c r="D17" s="78"/>
      <c r="E17" s="78"/>
      <c r="F17" s="78"/>
      <c r="G17" s="78"/>
      <c r="H17" s="78"/>
      <c r="I17" s="78"/>
      <c r="J17" s="78"/>
    </row>
    <row r="18" spans="2:16" x14ac:dyDescent="0.25">
      <c r="C18" s="78"/>
      <c r="D18" s="78"/>
      <c r="E18" s="78"/>
      <c r="F18" s="78"/>
      <c r="G18" s="78"/>
      <c r="H18" s="78"/>
      <c r="I18" s="78"/>
      <c r="J18" s="78"/>
    </row>
    <row r="25" spans="2:16" x14ac:dyDescent="0.25">
      <c r="M25" s="88"/>
      <c r="N25" s="88"/>
      <c r="O25" s="88"/>
      <c r="P25" s="88"/>
    </row>
    <row r="26" spans="2:16" x14ac:dyDescent="0.25">
      <c r="P26" s="88"/>
    </row>
    <row r="27" spans="2:16" x14ac:dyDescent="0.25">
      <c r="P27" s="88"/>
    </row>
    <row r="28" spans="2:16" x14ac:dyDescent="0.25">
      <c r="P28" s="88"/>
    </row>
    <row r="29" spans="2:16" x14ac:dyDescent="0.25">
      <c r="P29" s="88"/>
    </row>
    <row r="30" spans="2:16" x14ac:dyDescent="0.25">
      <c r="P30" s="88"/>
    </row>
    <row r="31" spans="2:16" ht="15" customHeight="1" x14ac:dyDescent="0.25">
      <c r="P31" s="88"/>
    </row>
    <row r="32" spans="2:16" x14ac:dyDescent="0.25">
      <c r="P32" s="88"/>
    </row>
    <row r="33" spans="13:16" x14ac:dyDescent="0.25">
      <c r="P33" s="88"/>
    </row>
    <row r="34" spans="13:16" x14ac:dyDescent="0.25">
      <c r="M34" s="88"/>
      <c r="N34" s="88"/>
      <c r="O34" s="88"/>
      <c r="P34" s="88"/>
    </row>
    <row r="35" spans="13:16" x14ac:dyDescent="0.25">
      <c r="M35" s="88"/>
    </row>
    <row r="36" spans="13:16" x14ac:dyDescent="0.25">
      <c r="M36" s="88"/>
    </row>
    <row r="37" spans="13:16" x14ac:dyDescent="0.25">
      <c r="M37" s="88"/>
    </row>
    <row r="38" spans="13:16" x14ac:dyDescent="0.25">
      <c r="M38" s="88"/>
    </row>
    <row r="39" spans="13:16" x14ac:dyDescent="0.25">
      <c r="M39" s="88"/>
    </row>
    <row r="40" spans="13:16" x14ac:dyDescent="0.25">
      <c r="M40" s="88"/>
    </row>
    <row r="41" spans="13:16" x14ac:dyDescent="0.25">
      <c r="M41" s="88"/>
    </row>
    <row r="42" spans="13:16" x14ac:dyDescent="0.25">
      <c r="M42" s="88"/>
    </row>
    <row r="43" spans="13:16" x14ac:dyDescent="0.25">
      <c r="M43" s="88"/>
    </row>
    <row r="44" spans="13:16" x14ac:dyDescent="0.25">
      <c r="M44" s="88"/>
    </row>
    <row r="45" spans="13:16" x14ac:dyDescent="0.25">
      <c r="M45" s="88"/>
    </row>
    <row r="46" spans="13:16" x14ac:dyDescent="0.25">
      <c r="M46" s="88"/>
    </row>
    <row r="47" spans="13:16" x14ac:dyDescent="0.25">
      <c r="M47" s="88"/>
    </row>
    <row r="48" spans="13:16" x14ac:dyDescent="0.25">
      <c r="M48" s="88"/>
    </row>
    <row r="49" spans="13:13" x14ac:dyDescent="0.25">
      <c r="M49" s="88"/>
    </row>
    <row r="50" spans="13:13" x14ac:dyDescent="0.25">
      <c r="M50" s="88"/>
    </row>
    <row r="51" spans="13:13" x14ac:dyDescent="0.25">
      <c r="M51" s="88"/>
    </row>
  </sheetData>
  <sheetProtection algorithmName="SHA-512" hashValue="KPhAcvoc/6X4ActKm+Wvzrw8k1W3+214YhRmj626d26v6k09CrvKQUnTC42xzYaSdqOWuKLJIj08feJuf1214g==" saltValue="4gubAVftSP9/QFlEZqcooA==" spinCount="100000" sheet="1" objects="1" scenarios="1"/>
  <phoneticPr fontId="25" type="noConversion"/>
  <dataValidations count="1">
    <dataValidation type="list" allowBlank="1" showInputMessage="1" showErrorMessage="1" sqref="B13" xr:uid="{606679FE-9488-4719-9605-9E6884A6576A}">
      <formula1>$N$7:$N$14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0EFEA-F75E-47D4-A2B9-AC244E3B71F8}">
  <sheetPr codeName="Sheet14">
    <tabColor rgb="FF0070C0"/>
  </sheetPr>
  <dimension ref="B1:T50"/>
  <sheetViews>
    <sheetView showGridLines="0" workbookViewId="0"/>
  </sheetViews>
  <sheetFormatPr defaultRowHeight="15" x14ac:dyDescent="0.25"/>
  <cols>
    <col min="1" max="1" width="2.42578125" customWidth="1"/>
    <col min="2" max="2" width="33.85546875" bestFit="1" customWidth="1"/>
    <col min="3" max="3" width="11.7109375" bestFit="1" customWidth="1"/>
    <col min="4" max="4" width="11.7109375" customWidth="1"/>
    <col min="5" max="9" width="11.7109375" bestFit="1" customWidth="1"/>
    <col min="10" max="11" width="11.7109375" customWidth="1"/>
    <col min="12" max="12" width="16.140625" bestFit="1" customWidth="1"/>
    <col min="13" max="13" width="27.85546875" bestFit="1" customWidth="1"/>
    <col min="14" max="14" width="26.7109375" bestFit="1" customWidth="1"/>
    <col min="19" max="19" width="11.7109375" bestFit="1" customWidth="1"/>
    <col min="20" max="20" width="17" bestFit="1" customWidth="1"/>
    <col min="21" max="22" width="14.28515625" bestFit="1" customWidth="1"/>
  </cols>
  <sheetData>
    <row r="1" spans="2:20" ht="15.75" x14ac:dyDescent="0.25">
      <c r="B1" s="7" t="s">
        <v>142</v>
      </c>
    </row>
    <row r="2" spans="2:20" ht="15.75" x14ac:dyDescent="0.25">
      <c r="B2" s="7"/>
    </row>
    <row r="3" spans="2:20" ht="15.75" x14ac:dyDescent="0.25">
      <c r="B3" s="7" t="s">
        <v>143</v>
      </c>
    </row>
    <row r="4" spans="2:20" x14ac:dyDescent="0.25">
      <c r="B4" s="74"/>
    </row>
    <row r="5" spans="2:20" x14ac:dyDescent="0.25">
      <c r="B5" s="87"/>
      <c r="C5" s="90" t="str">
        <f>_xlfn.XLOOKUP($B$15,$M$8:$M$15,$L$8:$L$15)</f>
        <v>FY 2024
Actuals</v>
      </c>
      <c r="D5" s="208"/>
    </row>
    <row r="6" spans="2:20" x14ac:dyDescent="0.25">
      <c r="T6" s="88"/>
    </row>
    <row r="7" spans="2:20" ht="30.75" thickBot="1" x14ac:dyDescent="0.3">
      <c r="B7" s="92" t="s">
        <v>94</v>
      </c>
      <c r="C7" s="85" t="str">
        <f>'P&amp;L'!D3</f>
        <v>FY 2024
Actuals</v>
      </c>
      <c r="D7" s="85" t="str">
        <f>'P&amp;L'!E3</f>
        <v>FY 2025
Actuals</v>
      </c>
      <c r="E7" s="85" t="str">
        <f>'P&amp;L'!F3</f>
        <v>FY 2026
Actuals</v>
      </c>
      <c r="F7" s="84" t="str">
        <f>'P&amp;L'!G3</f>
        <v>FY 2027
Forecast</v>
      </c>
      <c r="G7" s="84" t="str">
        <f>'P&amp;L'!H3</f>
        <v>FY 2028
Forecast</v>
      </c>
      <c r="H7" s="84" t="str">
        <f>'P&amp;L'!I3</f>
        <v>FY 2029
Forecast</v>
      </c>
      <c r="I7" s="84" t="str">
        <f>'P&amp;L'!J3</f>
        <v>FY 2030
Forecast</v>
      </c>
      <c r="J7" s="84" t="str">
        <f>'P&amp;L'!K3</f>
        <v>FY 2031
Forecast</v>
      </c>
      <c r="T7" s="88"/>
    </row>
    <row r="8" spans="2:20" x14ac:dyDescent="0.25">
      <c r="B8" s="74" t="s">
        <v>134</v>
      </c>
      <c r="C8" s="6">
        <f>'Cash Flow Statement'!D35</f>
        <v>4569.6400000000003</v>
      </c>
      <c r="D8" s="6">
        <f>'Cash Flow Statement'!E35</f>
        <v>4769.1899999999923</v>
      </c>
      <c r="E8" s="6">
        <f>'Cash Flow Statement'!F35</f>
        <v>4346.610000000006</v>
      </c>
      <c r="F8" s="69">
        <f>'Cash Flow Statement'!G35</f>
        <v>7544.3200000000197</v>
      </c>
      <c r="G8" s="69">
        <f>'Cash Flow Statement'!H35</f>
        <v>2290.1031771991456</v>
      </c>
      <c r="H8" s="69">
        <f>'Cash Flow Statement'!I35</f>
        <v>8698.4606808211865</v>
      </c>
      <c r="I8" s="69">
        <f>'Cash Flow Statement'!J35</f>
        <v>15752.95969007711</v>
      </c>
      <c r="J8" s="69">
        <f>'Cash Flow Statement'!K35</f>
        <v>23489.063967112554</v>
      </c>
      <c r="L8" s="91" t="s">
        <v>266</v>
      </c>
      <c r="M8" s="91" t="str">
        <f t="shared" ref="M8:M14" si="0">CONCATENATE("Opening Cash Balance"," ",LEFT(L8,7))</f>
        <v>Opening Cash Balance FY 2024</v>
      </c>
      <c r="N8" s="91" t="str">
        <f t="shared" ref="N8:N14" si="1">REPLACE(M8,1,7,"Closing")</f>
        <v>Closing Cash Balance FY 2024</v>
      </c>
      <c r="T8" s="88"/>
    </row>
    <row r="9" spans="2:20" x14ac:dyDescent="0.25">
      <c r="B9" t="s">
        <v>125</v>
      </c>
      <c r="C9" s="6">
        <f>'Cash Flow Statement'!D19</f>
        <v>18450.139999999992</v>
      </c>
      <c r="D9" s="6">
        <f>'Cash Flow Statement'!E19</f>
        <v>10589.860000000008</v>
      </c>
      <c r="E9" s="6">
        <f>'Cash Flow Statement'!F19</f>
        <v>2407.8900000000376</v>
      </c>
      <c r="F9" s="69">
        <f>'Cash Flow Statement'!G19</f>
        <v>4681.0930289131866</v>
      </c>
      <c r="G9" s="69">
        <f>'Cash Flow Statement'!H19</f>
        <v>17103.515702380319</v>
      </c>
      <c r="H9" s="69">
        <f>'Cash Flow Statement'!I19</f>
        <v>18775.605894367451</v>
      </c>
      <c r="I9" s="69">
        <f>'Cash Flow Statement'!J19</f>
        <v>20575.667767440376</v>
      </c>
      <c r="J9" s="69">
        <f>'Cash Flow Statement'!K19</f>
        <v>22516.104251433058</v>
      </c>
      <c r="L9" s="91" t="s">
        <v>267</v>
      </c>
      <c r="M9" s="91" t="str">
        <f t="shared" si="0"/>
        <v>Opening Cash Balance FY 2025</v>
      </c>
      <c r="N9" s="91" t="str">
        <f t="shared" si="1"/>
        <v>Closing Cash Balance FY 2025</v>
      </c>
      <c r="T9" s="88"/>
    </row>
    <row r="10" spans="2:20" x14ac:dyDescent="0.25">
      <c r="B10" t="s">
        <v>129</v>
      </c>
      <c r="C10" s="6">
        <f>'Cash Flow Statement'!D24</f>
        <v>-4480.5500000000029</v>
      </c>
      <c r="D10" s="6">
        <f>'Cash Flow Statement'!E24</f>
        <v>-5193.3700000000008</v>
      </c>
      <c r="E10" s="6">
        <f>'Cash Flow Statement'!F24</f>
        <v>3631.4100000000067</v>
      </c>
      <c r="F10" s="69">
        <f>'Cash Flow Statement'!G24</f>
        <v>-6414.155895522219</v>
      </c>
      <c r="G10" s="69">
        <f>'Cash Flow Statement'!H24</f>
        <v>-7030.0618350165696</v>
      </c>
      <c r="H10" s="69">
        <f>'Cash Flow Statement'!I24</f>
        <v>-7704.9080440293747</v>
      </c>
      <c r="I10" s="69">
        <f>'Cash Flow Statement'!J24</f>
        <v>-8444.2655788126394</v>
      </c>
      <c r="J10" s="69">
        <f>'Cash Flow Statement'!K24</f>
        <v>-9254.2147422749149</v>
      </c>
      <c r="L10" s="91" t="s">
        <v>316</v>
      </c>
      <c r="M10" s="91" t="str">
        <f t="shared" si="0"/>
        <v>Opening Cash Balance FY 2026</v>
      </c>
      <c r="N10" s="91" t="str">
        <f t="shared" si="1"/>
        <v>Closing Cash Balance FY 2026</v>
      </c>
      <c r="T10" s="88"/>
    </row>
    <row r="11" spans="2:20" x14ac:dyDescent="0.25">
      <c r="B11" t="s">
        <v>131</v>
      </c>
      <c r="C11" s="6">
        <f>'Cash Flow Statement'!D31</f>
        <v>-13770.039999999995</v>
      </c>
      <c r="D11" s="6">
        <f>'Cash Flow Statement'!E31</f>
        <v>-5819.0700000000024</v>
      </c>
      <c r="E11" s="6">
        <f>'Cash Flow Statement'!F31</f>
        <v>-2841.5900000000279</v>
      </c>
      <c r="F11" s="69">
        <f>'Cash Flow Statement'!G31</f>
        <v>-3521.1539561918312</v>
      </c>
      <c r="G11" s="69">
        <f>'Cash Flow Statement'!H31</f>
        <v>-3665.0963637417176</v>
      </c>
      <c r="H11" s="69">
        <f>'Cash Flow Statement'!I31</f>
        <v>-4016.1988410821446</v>
      </c>
      <c r="I11" s="69">
        <f>'Cash Flow Statement'!J31</f>
        <v>-4395.2979115923008</v>
      </c>
      <c r="J11" s="69">
        <f>'Cash Flow Statement'!K31</f>
        <v>-4805.0549452233072</v>
      </c>
      <c r="L11" s="91" t="s">
        <v>269</v>
      </c>
      <c r="M11" s="91" t="str">
        <f t="shared" si="0"/>
        <v>Opening Cash Balance FY 2027</v>
      </c>
      <c r="N11" s="91" t="str">
        <f t="shared" si="1"/>
        <v>Closing Cash Balance FY 2027</v>
      </c>
      <c r="T11" s="88"/>
    </row>
    <row r="12" spans="2:20" x14ac:dyDescent="0.25">
      <c r="B12" s="74" t="s">
        <v>135</v>
      </c>
      <c r="C12" s="6">
        <f>'Cash Flow Statement'!D37</f>
        <v>4769.1899999999941</v>
      </c>
      <c r="D12" s="6">
        <f>'Cash Flow Statement'!E37</f>
        <v>4346.6099999999969</v>
      </c>
      <c r="E12" s="6">
        <f>'Cash Flow Statement'!F37</f>
        <v>7544.3200000000234</v>
      </c>
      <c r="F12" s="69">
        <f>'Cash Flow Statement'!G37</f>
        <v>2290.1031771991566</v>
      </c>
      <c r="G12" s="69">
        <f>'Cash Flow Statement'!H37</f>
        <v>8698.4606808211774</v>
      </c>
      <c r="H12" s="69">
        <f>'Cash Flow Statement'!I37</f>
        <v>15752.959690077118</v>
      </c>
      <c r="I12" s="69">
        <f>'Cash Flow Statement'!J37</f>
        <v>23489.063967112546</v>
      </c>
      <c r="J12" s="69">
        <f>'Cash Flow Statement'!K37</f>
        <v>31945.898531047391</v>
      </c>
      <c r="L12" s="91" t="s">
        <v>270</v>
      </c>
      <c r="M12" s="91" t="str">
        <f t="shared" si="0"/>
        <v>Opening Cash Balance FY 2028</v>
      </c>
      <c r="N12" s="91" t="str">
        <f t="shared" si="1"/>
        <v>Closing Cash Balance FY 2028</v>
      </c>
    </row>
    <row r="13" spans="2:20" x14ac:dyDescent="0.25">
      <c r="L13" s="91" t="s">
        <v>271</v>
      </c>
      <c r="M13" s="91" t="str">
        <f t="shared" si="0"/>
        <v>Opening Cash Balance FY 2029</v>
      </c>
      <c r="N13" s="91" t="str">
        <f t="shared" si="1"/>
        <v>Closing Cash Balance FY 2029</v>
      </c>
    </row>
    <row r="14" spans="2:20" x14ac:dyDescent="0.25">
      <c r="B14" s="74" t="s">
        <v>138</v>
      </c>
      <c r="L14" s="91" t="s">
        <v>272</v>
      </c>
      <c r="M14" s="91" t="str">
        <f t="shared" si="0"/>
        <v>Opening Cash Balance FY 2030</v>
      </c>
      <c r="N14" s="91" t="str">
        <f t="shared" si="1"/>
        <v>Closing Cash Balance FY 2030</v>
      </c>
    </row>
    <row r="15" spans="2:20" x14ac:dyDescent="0.25">
      <c r="B15" s="74" t="s">
        <v>317</v>
      </c>
      <c r="C15" s="109">
        <f>HLOOKUP($C$5,$7:$12,2,FALSE)</f>
        <v>4569.6400000000003</v>
      </c>
      <c r="D15" s="109"/>
      <c r="L15" s="91" t="s">
        <v>273</v>
      </c>
      <c r="M15" s="91" t="str">
        <f t="shared" ref="M15" si="2">CONCATENATE("Opening Cash Balance"," ",LEFT(L15,7))</f>
        <v>Opening Cash Balance FY 2031</v>
      </c>
      <c r="N15" s="91" t="str">
        <f t="shared" ref="N15" si="3">REPLACE(M15,1,7,"Closing")</f>
        <v>Closing Cash Balance FY 2031</v>
      </c>
    </row>
    <row r="16" spans="2:20" x14ac:dyDescent="0.25">
      <c r="B16" t="s">
        <v>125</v>
      </c>
      <c r="C16" s="6">
        <f>HLOOKUP($C$5,$7:$12,3,FALSE)</f>
        <v>18450.139999999992</v>
      </c>
      <c r="D16" s="6"/>
    </row>
    <row r="17" spans="2:4" x14ac:dyDescent="0.25">
      <c r="B17" t="s">
        <v>129</v>
      </c>
      <c r="C17" s="6">
        <f>HLOOKUP($C$5,$7:$12,4,FALSE)</f>
        <v>-4480.5500000000029</v>
      </c>
      <c r="D17" s="6"/>
    </row>
    <row r="18" spans="2:4" x14ac:dyDescent="0.25">
      <c r="B18" t="s">
        <v>131</v>
      </c>
      <c r="C18" s="6">
        <f>HLOOKUP($C$5,$7:$12,5,FALSE)</f>
        <v>-13770.039999999995</v>
      </c>
      <c r="D18" s="6"/>
    </row>
    <row r="19" spans="2:4" x14ac:dyDescent="0.25">
      <c r="B19" s="74" t="str">
        <f>VLOOKUP(B15,$M$8:$N$14,2,FALSE)</f>
        <v>Closing Cash Balance FY 2024</v>
      </c>
      <c r="C19" s="109">
        <f>HLOOKUP($C$5,$7:$12,6,FALSE)</f>
        <v>4769.1899999999941</v>
      </c>
      <c r="D19" s="109"/>
    </row>
    <row r="20" spans="2:4" x14ac:dyDescent="0.25">
      <c r="B20" s="74"/>
      <c r="C20" s="109"/>
      <c r="D20" s="109"/>
    </row>
    <row r="45" spans="2:7" ht="15.75" x14ac:dyDescent="0.25">
      <c r="B45" s="7" t="s">
        <v>136</v>
      </c>
    </row>
    <row r="46" spans="2:7" x14ac:dyDescent="0.25">
      <c r="B46" s="74"/>
    </row>
    <row r="48" spans="2:7" ht="30.75" thickBot="1" x14ac:dyDescent="0.3">
      <c r="B48" s="92" t="s">
        <v>94</v>
      </c>
      <c r="C48" s="84" t="str">
        <f>'P&amp;L'!G3</f>
        <v>FY 2027
Forecast</v>
      </c>
      <c r="D48" s="84" t="str">
        <f>'P&amp;L'!H3</f>
        <v>FY 2028
Forecast</v>
      </c>
      <c r="E48" s="84" t="str">
        <f>'P&amp;L'!I3</f>
        <v>FY 2029
Forecast</v>
      </c>
      <c r="F48" s="84" t="str">
        <f>'P&amp;L'!J3</f>
        <v>FY 2030
Forecast</v>
      </c>
      <c r="G48" s="84" t="str">
        <f>'P&amp;L'!K3</f>
        <v>FY 2031
Forecast</v>
      </c>
    </row>
    <row r="49" spans="2:7" x14ac:dyDescent="0.25">
      <c r="B49" t="s">
        <v>68</v>
      </c>
      <c r="C49" s="6">
        <f>'DCF valuation'!D8</f>
        <v>3099.5169141811989</v>
      </c>
      <c r="D49" s="6">
        <f>'DCF valuation'!E8</f>
        <v>15159.725818593461</v>
      </c>
      <c r="E49" s="6">
        <f>'DCF valuation'!F8</f>
        <v>16455.999613048545</v>
      </c>
      <c r="F49" s="6">
        <f>'DCF valuation'!G8</f>
        <v>17864.12457975341</v>
      </c>
      <c r="G49" s="6">
        <f>'DCF valuation'!H8</f>
        <v>19393.916014441482</v>
      </c>
    </row>
    <row r="50" spans="2:7" x14ac:dyDescent="0.25">
      <c r="B50" t="s">
        <v>82</v>
      </c>
      <c r="C50" s="6">
        <f>'DCF valuation'!D10</f>
        <v>2760.798174636258</v>
      </c>
      <c r="D50" s="6">
        <f>'DCF valuation'!E10</f>
        <v>12027.424617255192</v>
      </c>
      <c r="E50" s="6">
        <f>'DCF valuation'!F10</f>
        <v>11629.102914498795</v>
      </c>
      <c r="F50" s="6">
        <f>'DCF valuation'!G10</f>
        <v>11244.60832725303</v>
      </c>
      <c r="G50" s="6">
        <f>'DCF valuation'!H10</f>
        <v>10873.484831894168</v>
      </c>
    </row>
  </sheetData>
  <sheetProtection algorithmName="SHA-512" hashValue="MYQudAZFENVwxIrL2mIQxD8urdmhaOhDs5C2LROoslPul1lbRX6P3GuspGo8Ib9TnKpunHy2j7OHZsnqgLacpA==" saltValue="kh080oCxkPc88NNrhER1lw==" spinCount="100000" sheet="1" objects="1" scenarios="1"/>
  <dataValidations count="1">
    <dataValidation type="list" allowBlank="1" showInputMessage="1" showErrorMessage="1" sqref="B15" xr:uid="{138BA6DE-7273-4FA7-884B-810F60444D84}">
      <formula1>$M$8:$M$15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0A411-91D7-4E16-8227-7A98577B8212}">
  <sheetPr codeName="Sheet15">
    <tabColor rgb="FF0070C0"/>
  </sheetPr>
  <dimension ref="B1:K15"/>
  <sheetViews>
    <sheetView showGridLines="0" workbookViewId="0"/>
  </sheetViews>
  <sheetFormatPr defaultRowHeight="15" x14ac:dyDescent="0.25"/>
  <cols>
    <col min="1" max="1" width="2.42578125" customWidth="1"/>
    <col min="2" max="2" width="35.140625" bestFit="1" customWidth="1"/>
    <col min="3" max="5" width="10.7109375" customWidth="1"/>
    <col min="6" max="6" width="3.85546875" customWidth="1"/>
    <col min="7" max="11" width="10.7109375" customWidth="1"/>
    <col min="12" max="13" width="14.28515625" bestFit="1" customWidth="1"/>
  </cols>
  <sheetData>
    <row r="1" spans="2:11" ht="15.75" x14ac:dyDescent="0.25">
      <c r="B1" s="7" t="s">
        <v>103</v>
      </c>
    </row>
    <row r="2" spans="2:11" x14ac:dyDescent="0.25">
      <c r="B2" s="74"/>
    </row>
    <row r="4" spans="2:11" ht="39.75" customHeight="1" thickBot="1" x14ac:dyDescent="0.3">
      <c r="B4" s="92" t="s">
        <v>94</v>
      </c>
      <c r="C4" s="85" t="str">
        <f>'P&amp;L'!D3</f>
        <v>FY 2024
Actuals</v>
      </c>
      <c r="D4" s="85" t="str">
        <f>'P&amp;L'!E3</f>
        <v>FY 2025
Actuals</v>
      </c>
      <c r="E4" s="85" t="str">
        <f>'P&amp;L'!F3</f>
        <v>FY 2026
Actuals</v>
      </c>
      <c r="F4" s="86"/>
      <c r="G4" s="84" t="str">
        <f>'P&amp;L'!G3</f>
        <v>FY 2027
Forecast</v>
      </c>
      <c r="H4" s="84" t="str">
        <f>'P&amp;L'!H3</f>
        <v>FY 2028
Forecast</v>
      </c>
      <c r="I4" s="84" t="str">
        <f>'P&amp;L'!I3</f>
        <v>FY 2029
Forecast</v>
      </c>
      <c r="J4" s="84" t="str">
        <f>'P&amp;L'!J3</f>
        <v>FY 2030
Forecast</v>
      </c>
      <c r="K4" s="84" t="str">
        <f>'P&amp;L'!K3</f>
        <v>FY 2031
Forecast</v>
      </c>
    </row>
    <row r="5" spans="2:11" x14ac:dyDescent="0.25">
      <c r="B5" t="s">
        <v>118</v>
      </c>
      <c r="C5" s="6">
        <f>'Balance Sheet'!D12</f>
        <v>124669.25</v>
      </c>
      <c r="D5" s="6">
        <f>'Balance Sheet'!E12</f>
        <v>132572.56</v>
      </c>
      <c r="E5" s="6">
        <f>'Balance Sheet'!F12</f>
        <v>159911.26</v>
      </c>
      <c r="G5" s="69">
        <f>'Balance Sheet'!G12</f>
        <v>168287.85788789118</v>
      </c>
      <c r="H5" s="69">
        <f>'Balance Sheet'!H12</f>
        <v>189636.01331547549</v>
      </c>
      <c r="I5" s="69">
        <f>'Balance Sheet'!I12</f>
        <v>212974.89206185035</v>
      </c>
      <c r="J5" s="69">
        <f>'Balance Sheet'!J12</f>
        <v>238460.97025234537</v>
      </c>
      <c r="K5" s="69">
        <f>'Balance Sheet'!K12</f>
        <v>266265.27638195117</v>
      </c>
    </row>
    <row r="6" spans="2:11" x14ac:dyDescent="0.25">
      <c r="B6" t="s">
        <v>122</v>
      </c>
      <c r="C6" s="6">
        <f>'Balance Sheet'!D23</f>
        <v>98027.050000000017</v>
      </c>
      <c r="D6" s="6">
        <f>'Balance Sheet'!E23</f>
        <v>104109.05999999998</v>
      </c>
      <c r="E6" s="6">
        <f>'Balance Sheet'!F23</f>
        <v>122385.41</v>
      </c>
      <c r="G6" s="69">
        <f>'Balance Sheet'!G23</f>
        <v>121473.09231280381</v>
      </c>
      <c r="H6" s="69">
        <f>'Balance Sheet'!H23</f>
        <v>132405.67062095617</v>
      </c>
      <c r="I6" s="69">
        <f>'Balance Sheet'!I23</f>
        <v>144322.18097684221</v>
      </c>
      <c r="J6" s="69">
        <f>'Balance Sheet'!J23</f>
        <v>157311.17726475807</v>
      </c>
      <c r="K6" s="69">
        <f>'Balance Sheet'!K23</f>
        <v>171469.18321858626</v>
      </c>
    </row>
    <row r="7" spans="2:11" x14ac:dyDescent="0.25">
      <c r="B7" s="64" t="s">
        <v>103</v>
      </c>
      <c r="C7" s="66">
        <f>C5-C6</f>
        <v>26642.199999999983</v>
      </c>
      <c r="D7" s="66">
        <f t="shared" ref="D7:E7" si="0">D5-D6</f>
        <v>28463.500000000015</v>
      </c>
      <c r="E7" s="66">
        <f t="shared" si="0"/>
        <v>37525.850000000006</v>
      </c>
      <c r="F7" s="98"/>
      <c r="G7" s="72">
        <f>G5-G6</f>
        <v>46814.765575087367</v>
      </c>
      <c r="H7" s="72">
        <f t="shared" ref="H7:K7" si="1">H5-H6</f>
        <v>57230.342694519321</v>
      </c>
      <c r="I7" s="72">
        <f t="shared" si="1"/>
        <v>68652.711085008137</v>
      </c>
      <c r="J7" s="72">
        <f t="shared" si="1"/>
        <v>81149.792987587309</v>
      </c>
      <c r="K7" s="72">
        <f t="shared" si="1"/>
        <v>94796.093163364916</v>
      </c>
    </row>
    <row r="8" spans="2:11" x14ac:dyDescent="0.25">
      <c r="C8" s="6"/>
      <c r="D8" s="6"/>
      <c r="E8" s="6"/>
      <c r="G8" s="6"/>
      <c r="H8" s="6"/>
      <c r="K8" s="88"/>
    </row>
    <row r="9" spans="2:11" x14ac:dyDescent="0.25">
      <c r="B9" t="s">
        <v>105</v>
      </c>
      <c r="C9" s="5">
        <f>'BS assumptions'!D6</f>
        <v>106.87111268312448</v>
      </c>
      <c r="D9" s="5">
        <f>'BS assumptions'!E6</f>
        <v>98.172850263993837</v>
      </c>
      <c r="E9" s="5">
        <f>'BS assumptions'!F6</f>
        <v>107.6622930596706</v>
      </c>
      <c r="G9" s="73">
        <f>'BS assumptions'!G6</f>
        <v>107.6622930596706</v>
      </c>
      <c r="H9" s="73">
        <f>'BS assumptions'!H6</f>
        <v>107.6622930596706</v>
      </c>
      <c r="I9" s="73">
        <f>'BS assumptions'!I6</f>
        <v>107.6622930596706</v>
      </c>
      <c r="J9" s="73">
        <f>'BS assumptions'!J6</f>
        <v>107.6622930596706</v>
      </c>
      <c r="K9" s="73">
        <f>'BS assumptions'!K6</f>
        <v>107.6622930596706</v>
      </c>
    </row>
    <row r="10" spans="2:11" x14ac:dyDescent="0.25">
      <c r="B10" t="s">
        <v>106</v>
      </c>
      <c r="C10" s="5">
        <f>'BS assumptions'!D9</f>
        <v>12.378530841626675</v>
      </c>
      <c r="D10" s="5">
        <f>'BS assumptions'!E9</f>
        <v>10.734559333105413</v>
      </c>
      <c r="E10" s="5">
        <f>'BS assumptions'!F9</f>
        <v>10.733792137669347</v>
      </c>
      <c r="G10" s="73">
        <f>'BS assumptions'!G9</f>
        <v>10.733792137669347</v>
      </c>
      <c r="H10" s="73">
        <f>'BS assumptions'!H9</f>
        <v>10.733792137669347</v>
      </c>
      <c r="I10" s="73">
        <f>'BS assumptions'!I9</f>
        <v>10.733792137669347</v>
      </c>
      <c r="J10" s="73">
        <f>'BS assumptions'!J9</f>
        <v>10.733792137669347</v>
      </c>
      <c r="K10" s="73">
        <f>'BS assumptions'!K9</f>
        <v>10.733792137669347</v>
      </c>
    </row>
    <row r="11" spans="2:11" x14ac:dyDescent="0.25">
      <c r="B11" t="s">
        <v>107</v>
      </c>
      <c r="C11" s="5">
        <f>'BS assumptions'!D12</f>
        <v>143.6017789621215</v>
      </c>
      <c r="D11" s="5">
        <f>'BS assumptions'!E12</f>
        <v>122.53193259372192</v>
      </c>
      <c r="E11" s="5">
        <f>'BS assumptions'!F12</f>
        <v>142.90854851339554</v>
      </c>
      <c r="G11" s="73">
        <f>'BS assumptions'!G12</f>
        <v>142.90854851339554</v>
      </c>
      <c r="H11" s="73">
        <f>'BS assumptions'!H12</f>
        <v>142.90854851339554</v>
      </c>
      <c r="I11" s="73">
        <f>'BS assumptions'!I12</f>
        <v>142.90854851339554</v>
      </c>
      <c r="J11" s="73">
        <f>'BS assumptions'!J12</f>
        <v>142.90854851339554</v>
      </c>
      <c r="K11" s="73">
        <f>'BS assumptions'!K12</f>
        <v>142.90854851339554</v>
      </c>
    </row>
    <row r="12" spans="2:11" x14ac:dyDescent="0.25">
      <c r="K12" s="88"/>
    </row>
    <row r="13" spans="2:11" x14ac:dyDescent="0.25">
      <c r="K13" s="88"/>
    </row>
    <row r="14" spans="2:11" x14ac:dyDescent="0.25">
      <c r="K14" s="88"/>
    </row>
    <row r="15" spans="2:11" x14ac:dyDescent="0.25">
      <c r="K15" s="88"/>
    </row>
  </sheetData>
  <sheetProtection algorithmName="SHA-512" hashValue="doQNOOI4Y/kBnHCq2OkwnmiIJRdLUw1GTh8elTPV3w798t79saGt6EiV//lE/9Oq3KUMIXfxpvKCeO92JGocJw==" saltValue="ayVFXkqyVIHneQrUGs5pJQ==" spinCount="100000" sheet="1" objects="1" scenarios="1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5C50B-82E6-43E9-98BA-C3C8490B7F4B}">
  <sheetPr codeName="Sheet16">
    <tabColor rgb="FF0070C0"/>
  </sheetPr>
  <dimension ref="B1:M8"/>
  <sheetViews>
    <sheetView showGridLines="0" workbookViewId="0"/>
  </sheetViews>
  <sheetFormatPr defaultRowHeight="15" x14ac:dyDescent="0.25"/>
  <cols>
    <col min="1" max="1" width="2.42578125" customWidth="1"/>
    <col min="2" max="2" width="20.28515625" bestFit="1" customWidth="1"/>
    <col min="3" max="5" width="10.7109375" customWidth="1"/>
    <col min="6" max="6" width="9" customWidth="1"/>
    <col min="7" max="7" width="20.5703125" bestFit="1" customWidth="1"/>
    <col min="8" max="11" width="10.7109375" customWidth="1"/>
    <col min="12" max="12" width="20.5703125" bestFit="1" customWidth="1"/>
    <col min="13" max="13" width="14.28515625" bestFit="1" customWidth="1"/>
  </cols>
  <sheetData>
    <row r="1" spans="2:13" ht="15.75" x14ac:dyDescent="0.25">
      <c r="B1" s="7" t="s">
        <v>108</v>
      </c>
    </row>
    <row r="2" spans="2:13" x14ac:dyDescent="0.25">
      <c r="B2" s="74"/>
    </row>
    <row r="4" spans="2:13" ht="15.75" thickBot="1" x14ac:dyDescent="0.3">
      <c r="B4" s="92" t="s">
        <v>109</v>
      </c>
      <c r="C4" s="92"/>
      <c r="G4" s="92" t="s">
        <v>112</v>
      </c>
      <c r="H4" s="92"/>
      <c r="L4" s="92" t="s">
        <v>113</v>
      </c>
      <c r="M4" s="92"/>
    </row>
    <row r="5" spans="2:13" x14ac:dyDescent="0.25">
      <c r="B5" t="s">
        <v>86</v>
      </c>
      <c r="C5" s="75">
        <v>205604.66130582074</v>
      </c>
      <c r="G5" t="s">
        <v>86</v>
      </c>
      <c r="H5" s="75">
        <v>133001.53722483275</v>
      </c>
      <c r="L5" t="s">
        <v>86</v>
      </c>
      <c r="M5" s="75">
        <v>24866.964744089917</v>
      </c>
    </row>
    <row r="6" spans="2:13" x14ac:dyDescent="0.25">
      <c r="B6" t="s">
        <v>110</v>
      </c>
      <c r="C6" s="23">
        <v>0.23606186045239913</v>
      </c>
      <c r="G6" t="s">
        <v>110</v>
      </c>
      <c r="H6" s="23">
        <v>0.2364800921304315</v>
      </c>
      <c r="L6" t="s">
        <v>110</v>
      </c>
      <c r="M6" s="23">
        <v>8.7975232484939506E-2</v>
      </c>
    </row>
    <row r="7" spans="2:13" x14ac:dyDescent="0.25">
      <c r="B7" t="s">
        <v>111</v>
      </c>
      <c r="C7" s="52">
        <v>0.76393813954760081</v>
      </c>
      <c r="G7" t="s">
        <v>111</v>
      </c>
      <c r="H7" s="52">
        <v>0.76351990786956847</v>
      </c>
      <c r="L7" t="s">
        <v>111</v>
      </c>
      <c r="M7" s="52">
        <v>0.91202476751506045</v>
      </c>
    </row>
    <row r="8" spans="2:13" x14ac:dyDescent="0.25">
      <c r="B8" t="s">
        <v>89</v>
      </c>
      <c r="C8" s="75">
        <v>223599.59130582074</v>
      </c>
      <c r="G8" t="s">
        <v>89</v>
      </c>
      <c r="H8" s="75">
        <v>150996.46722483274</v>
      </c>
      <c r="L8" t="s">
        <v>89</v>
      </c>
      <c r="M8" s="75">
        <v>42861.894744089936</v>
      </c>
    </row>
  </sheetData>
  <sheetProtection algorithmName="SHA-512" hashValue="xpf0B0Vq0SnUklgakKb2/oOMf3SIRjX2nulTp5oJiTc8xzNQuQhOKbcBog4CE/djU31kCB3ixgXiY09JQVFQ+g==" saltValue="SyCjNCFn4YlBfk4LIzpp8w==" spinCount="100000" sheet="1" objects="1" scenarios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03E11-64E5-4FA7-942B-5FDD0AFBD325}">
  <sheetPr codeName="Sheet17">
    <tabColor rgb="FF002060"/>
  </sheetPr>
  <dimension ref="B1:B11"/>
  <sheetViews>
    <sheetView workbookViewId="0"/>
  </sheetViews>
  <sheetFormatPr defaultRowHeight="12" x14ac:dyDescent="0.2"/>
  <cols>
    <col min="1" max="1" width="2" style="31" customWidth="1"/>
    <col min="2" max="16384" width="9.140625" style="31"/>
  </cols>
  <sheetData>
    <row r="1" spans="2:2" ht="15.75" x14ac:dyDescent="0.25">
      <c r="B1" s="30"/>
    </row>
    <row r="11" spans="2:2" ht="41.25" x14ac:dyDescent="0.6">
      <c r="B11" s="32" t="s">
        <v>115</v>
      </c>
    </row>
  </sheetData>
  <sheetProtection algorithmName="SHA-512" hashValue="anne6eTTRylGGRxqgApDlugL4EwTdBwWjfMgthIhspSlF/6kAg6zdARNOjoSLGecKlaGPUMNoizU6rl0v4Bf2A==" saltValue="S62xfjNWqICmJlnqHE58yA==" spinCount="100000" sheet="1" objects="1" scenarios="1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4E34C-239F-4A05-A9BE-35EE4D2F5B26}">
  <sheetPr codeName="Sheet18"/>
  <dimension ref="B1:F24"/>
  <sheetViews>
    <sheetView showGridLines="0" workbookViewId="0"/>
  </sheetViews>
  <sheetFormatPr defaultRowHeight="15" x14ac:dyDescent="0.25"/>
  <cols>
    <col min="1" max="1" width="2.5703125" customWidth="1"/>
    <col min="2" max="2" width="24" bestFit="1" customWidth="1"/>
  </cols>
  <sheetData>
    <row r="1" spans="2:6" ht="15.75" x14ac:dyDescent="0.25">
      <c r="B1" s="7" t="s">
        <v>14</v>
      </c>
    </row>
    <row r="3" spans="2:6" x14ac:dyDescent="0.25">
      <c r="D3" s="17">
        <v>2024</v>
      </c>
      <c r="E3" s="17">
        <v>2025</v>
      </c>
      <c r="F3" s="17">
        <v>2026</v>
      </c>
    </row>
    <row r="4" spans="2:6" x14ac:dyDescent="0.25">
      <c r="D4" s="17" t="s">
        <v>11</v>
      </c>
      <c r="E4" s="17" t="s">
        <v>11</v>
      </c>
      <c r="F4" s="17" t="s">
        <v>11</v>
      </c>
    </row>
    <row r="5" spans="2:6" x14ac:dyDescent="0.25">
      <c r="B5" t="s">
        <v>3</v>
      </c>
      <c r="D5" s="3">
        <f>'P&amp;L_L&amp;T'!D7</f>
        <v>126235.85</v>
      </c>
      <c r="E5" s="3">
        <f>'P&amp;L_L&amp;T'!C7</f>
        <v>142509.01</v>
      </c>
      <c r="F5" s="3">
        <f>'P&amp;L_L&amp;T'!B7</f>
        <v>153680.17000000001</v>
      </c>
    </row>
    <row r="6" spans="2:6" x14ac:dyDescent="0.25">
      <c r="B6" t="s">
        <v>168</v>
      </c>
      <c r="D6" s="3">
        <f>'P&amp;L_L&amp;T'!D8</f>
        <v>5340.6</v>
      </c>
      <c r="E6" s="3">
        <f>'P&amp;L_L&amp;T'!C8</f>
        <v>5669.21</v>
      </c>
      <c r="F6" s="3">
        <f>'P&amp;L_L&amp;T'!B8</f>
        <v>7358.45</v>
      </c>
    </row>
    <row r="7" spans="2:6" x14ac:dyDescent="0.25">
      <c r="B7" s="1" t="s">
        <v>13</v>
      </c>
      <c r="C7" s="9"/>
      <c r="D7" s="10">
        <f>SUM(D5:D6)</f>
        <v>131576.45000000001</v>
      </c>
      <c r="E7" s="10">
        <f t="shared" ref="E7:F7" si="0">SUM(E5:E6)</f>
        <v>148178.22</v>
      </c>
      <c r="F7" s="10">
        <f t="shared" si="0"/>
        <v>161038.62000000002</v>
      </c>
    </row>
    <row r="8" spans="2:6" x14ac:dyDescent="0.25">
      <c r="B8" s="74" t="s">
        <v>4</v>
      </c>
      <c r="D8" s="154">
        <f>SUM(D9:D11)</f>
        <v>103821.21</v>
      </c>
      <c r="E8" s="154">
        <f t="shared" ref="E8:F8" si="1">SUM(E9:E11)</f>
        <v>115566.09</v>
      </c>
      <c r="F8" s="154">
        <f t="shared" si="1"/>
        <v>125508.84</v>
      </c>
    </row>
    <row r="9" spans="2:6" x14ac:dyDescent="0.25">
      <c r="B9" t="s">
        <v>170</v>
      </c>
      <c r="D9" s="16">
        <f>'P&amp;L_L&amp;T'!D11</f>
        <v>11621.48</v>
      </c>
      <c r="E9" s="16">
        <f>'P&amp;L_L&amp;T'!C11</f>
        <v>15219.9</v>
      </c>
      <c r="F9" s="16">
        <f>'P&amp;L_L&amp;T'!B11</f>
        <v>19804.95</v>
      </c>
    </row>
    <row r="10" spans="2:6" x14ac:dyDescent="0.25">
      <c r="B10" t="s">
        <v>171</v>
      </c>
      <c r="D10" s="16">
        <f>'P&amp;L_L&amp;T'!D12</f>
        <v>1078.54</v>
      </c>
      <c r="E10" s="16">
        <f>'P&amp;L_L&amp;T'!C12</f>
        <v>1409.9</v>
      </c>
      <c r="F10" s="16">
        <f>'P&amp;L_L&amp;T'!B12</f>
        <v>1250.49</v>
      </c>
    </row>
    <row r="11" spans="2:6" x14ac:dyDescent="0.25">
      <c r="B11" t="s">
        <v>263</v>
      </c>
      <c r="D11" s="16">
        <f>'P&amp;L_L&amp;T'!D13</f>
        <v>91121.19</v>
      </c>
      <c r="E11" s="16">
        <f>'P&amp;L_L&amp;T'!C13</f>
        <v>98936.29</v>
      </c>
      <c r="F11" s="16">
        <f>'P&amp;L_L&amp;T'!B13</f>
        <v>104453.4</v>
      </c>
    </row>
    <row r="12" spans="2:6" x14ac:dyDescent="0.25">
      <c r="B12" s="1" t="s">
        <v>6</v>
      </c>
      <c r="C12" s="9"/>
      <c r="D12" s="11">
        <f>D7-D8</f>
        <v>27755.240000000005</v>
      </c>
      <c r="E12" s="11">
        <f t="shared" ref="E12:F12" si="2">E7-E8</f>
        <v>32612.130000000005</v>
      </c>
      <c r="F12" s="11">
        <f t="shared" si="2"/>
        <v>35529.780000000028</v>
      </c>
    </row>
    <row r="13" spans="2:6" x14ac:dyDescent="0.25">
      <c r="B13" s="74" t="s">
        <v>0</v>
      </c>
      <c r="C13" s="74"/>
      <c r="D13" s="154">
        <f>SUM(D14:D17)</f>
        <v>12282.09</v>
      </c>
      <c r="E13" s="154">
        <f t="shared" ref="E13:F13" si="3">SUM(E14:E17)</f>
        <v>14879.89</v>
      </c>
      <c r="F13" s="154">
        <f t="shared" si="3"/>
        <v>22727.739999999998</v>
      </c>
    </row>
    <row r="14" spans="2:6" x14ac:dyDescent="0.25">
      <c r="B14" t="s">
        <v>264</v>
      </c>
      <c r="D14" s="16">
        <f>'P&amp;L_L&amp;T'!D14</f>
        <v>411.83</v>
      </c>
      <c r="E14" s="16">
        <f>'P&amp;L_L&amp;T'!C14</f>
        <v>1089.23</v>
      </c>
      <c r="F14" s="16">
        <f>'P&amp;L_L&amp;T'!B14</f>
        <v>139.05000000000001</v>
      </c>
    </row>
    <row r="15" spans="2:6" x14ac:dyDescent="0.25">
      <c r="B15" t="s">
        <v>265</v>
      </c>
      <c r="D15" s="16">
        <f>'P&amp;L_L&amp;T'!D15</f>
        <v>8864.41</v>
      </c>
      <c r="E15" s="16">
        <f>'P&amp;L_L&amp;T'!C15</f>
        <v>10380.08</v>
      </c>
      <c r="F15" s="16">
        <f>'P&amp;L_L&amp;T'!B15</f>
        <v>11602.89</v>
      </c>
    </row>
    <row r="16" spans="2:6" x14ac:dyDescent="0.25">
      <c r="B16" t="s">
        <v>177</v>
      </c>
      <c r="D16" s="16">
        <f>'P&amp;L_L&amp;T'!D18</f>
        <v>3453.84</v>
      </c>
      <c r="E16" s="16">
        <f>'P&amp;L_L&amp;T'!C18</f>
        <v>3885.36</v>
      </c>
      <c r="F16" s="16">
        <f>'P&amp;L_L&amp;T'!B18</f>
        <v>3864.07</v>
      </c>
    </row>
    <row r="17" spans="2:6" x14ac:dyDescent="0.25">
      <c r="B17" t="s">
        <v>180</v>
      </c>
      <c r="D17" s="16">
        <f>-'P&amp;L_L&amp;T'!D21</f>
        <v>-447.99</v>
      </c>
      <c r="E17" s="16">
        <f>-'P&amp;L_L&amp;T'!C21</f>
        <v>-474.78</v>
      </c>
      <c r="F17" s="16">
        <f>-'P&amp;L_L&amp;T'!B21</f>
        <v>7121.73</v>
      </c>
    </row>
    <row r="18" spans="2:6" x14ac:dyDescent="0.25">
      <c r="B18" s="1" t="s">
        <v>7</v>
      </c>
      <c r="C18" s="9"/>
      <c r="D18" s="11">
        <f>D12-D13</f>
        <v>15473.150000000005</v>
      </c>
      <c r="E18" s="11">
        <f t="shared" ref="E18:F18" si="4">E12-E13</f>
        <v>17732.240000000005</v>
      </c>
      <c r="F18" s="11">
        <f t="shared" si="4"/>
        <v>12802.04000000003</v>
      </c>
    </row>
    <row r="19" spans="2:6" x14ac:dyDescent="0.25">
      <c r="B19" t="s">
        <v>1</v>
      </c>
      <c r="D19" s="16">
        <f>'P&amp;L_L&amp;T'!D17</f>
        <v>1751.01</v>
      </c>
      <c r="E19" s="16">
        <f>'P&amp;L_L&amp;T'!C17</f>
        <v>1963.02</v>
      </c>
      <c r="F19" s="16">
        <f>'P&amp;L_L&amp;T'!B17</f>
        <v>1985.4</v>
      </c>
    </row>
    <row r="20" spans="2:6" x14ac:dyDescent="0.25">
      <c r="B20" s="1" t="s">
        <v>10</v>
      </c>
      <c r="C20" s="9"/>
      <c r="D20" s="11">
        <f>D18-D19</f>
        <v>13722.140000000005</v>
      </c>
      <c r="E20" s="11">
        <f t="shared" ref="E20:F20" si="5">E18-E19</f>
        <v>15769.220000000005</v>
      </c>
      <c r="F20" s="11">
        <f t="shared" si="5"/>
        <v>10816.64000000003</v>
      </c>
    </row>
    <row r="21" spans="2:6" x14ac:dyDescent="0.25">
      <c r="B21" t="s">
        <v>175</v>
      </c>
      <c r="D21" s="16">
        <f>'P&amp;L_L&amp;T'!D16</f>
        <v>2405.83</v>
      </c>
      <c r="E21" s="16">
        <f>'P&amp;L_L&amp;T'!C16</f>
        <v>2195.46</v>
      </c>
      <c r="F21" s="16">
        <f>'P&amp;L_L&amp;T'!B16</f>
        <v>1675.42</v>
      </c>
    </row>
    <row r="22" spans="2:6" x14ac:dyDescent="0.25">
      <c r="B22" s="1" t="s">
        <v>8</v>
      </c>
      <c r="C22" s="9"/>
      <c r="D22" s="11">
        <f>D20-D21</f>
        <v>11316.310000000005</v>
      </c>
      <c r="E22" s="11">
        <f t="shared" ref="E22:F22" si="6">E20-E21</f>
        <v>13573.760000000006</v>
      </c>
      <c r="F22" s="11">
        <f t="shared" si="6"/>
        <v>9141.2200000000303</v>
      </c>
    </row>
    <row r="23" spans="2:6" x14ac:dyDescent="0.25">
      <c r="B23" t="s">
        <v>2</v>
      </c>
      <c r="D23" s="16">
        <f>'P&amp;L_L&amp;T'!D28</f>
        <v>2011.98</v>
      </c>
      <c r="E23" s="16">
        <f>'P&amp;L_L&amp;T'!C28</f>
        <v>2703.04</v>
      </c>
      <c r="F23" s="16">
        <f>'P&amp;L_L&amp;T'!B28</f>
        <v>2854.09</v>
      </c>
    </row>
    <row r="24" spans="2:6" ht="15.75" thickBot="1" x14ac:dyDescent="0.3">
      <c r="B24" s="13" t="s">
        <v>9</v>
      </c>
      <c r="C24" s="14"/>
      <c r="D24" s="15">
        <f>D22-D23</f>
        <v>9304.3300000000054</v>
      </c>
      <c r="E24" s="15">
        <f t="shared" ref="E24:F24" si="7">E22-E23</f>
        <v>10870.720000000005</v>
      </c>
      <c r="F24" s="15">
        <f t="shared" si="7"/>
        <v>6287.1300000000301</v>
      </c>
    </row>
  </sheetData>
  <sheetProtection algorithmName="SHA-512" hashValue="6z0j5wtjDEei6JB9/IxzKLMzLHFE+JW3+8+WtTIJlsbfyj2aQIg9bQ2RpAkXFQ5eHxMeaZp4NiIind8vfBgtfQ==" saltValue="NdSzY+lKnV53XLMH8s0VQA==" spinCount="100000" sheet="1" objects="1" scenarios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915B5-05B5-4C9A-BC4D-6A834F0B135F}">
  <sheetPr codeName="Sheet19"/>
  <dimension ref="B1:K15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2.5703125" customWidth="1"/>
    <col min="2" max="2" width="26.85546875" bestFit="1" customWidth="1"/>
    <col min="4" max="4" width="9.7109375" bestFit="1" customWidth="1"/>
  </cols>
  <sheetData>
    <row r="1" spans="2:11" ht="15.75" x14ac:dyDescent="0.25">
      <c r="B1" s="7" t="s">
        <v>42</v>
      </c>
    </row>
    <row r="2" spans="2:11" ht="15.75" x14ac:dyDescent="0.25">
      <c r="B2" s="7"/>
    </row>
    <row r="3" spans="2:11" x14ac:dyDescent="0.25">
      <c r="D3" s="210" t="s">
        <v>11</v>
      </c>
      <c r="E3" s="210"/>
      <c r="F3" s="210"/>
      <c r="G3" s="211" t="s">
        <v>12</v>
      </c>
      <c r="H3" s="211"/>
      <c r="I3" s="211"/>
      <c r="J3" s="211"/>
      <c r="K3" s="211"/>
    </row>
    <row r="4" spans="2:11" ht="15.75" thickBot="1" x14ac:dyDescent="0.3">
      <c r="B4" s="33" t="s">
        <v>276</v>
      </c>
      <c r="C4" s="34"/>
      <c r="D4" s="35">
        <v>45382</v>
      </c>
      <c r="E4" s="36">
        <v>45747</v>
      </c>
      <c r="F4" s="36">
        <v>46112</v>
      </c>
      <c r="G4" s="37">
        <v>46477</v>
      </c>
      <c r="H4" s="37">
        <v>46843</v>
      </c>
      <c r="I4" s="37">
        <v>47208</v>
      </c>
      <c r="J4" s="37">
        <v>47573</v>
      </c>
      <c r="K4" s="37">
        <v>47938</v>
      </c>
    </row>
    <row r="5" spans="2:11" x14ac:dyDescent="0.25">
      <c r="B5" t="s">
        <v>280</v>
      </c>
      <c r="D5" s="6">
        <f>'BS_L&amp;T'!E29</f>
        <v>11710.73</v>
      </c>
      <c r="E5" s="6">
        <f>D8</f>
        <v>12463.33</v>
      </c>
      <c r="F5" s="6">
        <f>E8</f>
        <v>12393.07</v>
      </c>
      <c r="G5" s="29">
        <f>F8</f>
        <v>13712.47</v>
      </c>
      <c r="H5" s="29">
        <f>G8</f>
        <v>14927.575375855549</v>
      </c>
      <c r="I5" s="29">
        <f t="shared" ref="I5:K5" si="0">H8</f>
        <v>16248.031980290434</v>
      </c>
      <c r="J5" s="29">
        <f t="shared" si="0"/>
        <v>17682.476591662686</v>
      </c>
      <c r="K5" s="29">
        <f t="shared" si="0"/>
        <v>19240.145230513652</v>
      </c>
    </row>
    <row r="6" spans="2:11" x14ac:dyDescent="0.25">
      <c r="B6" s="21" t="s">
        <v>43</v>
      </c>
      <c r="D6" s="6">
        <f>D8-D7-D5</f>
        <v>2503.6100000000006</v>
      </c>
      <c r="E6" s="6">
        <f t="shared" ref="E6:F6" si="1">E8-E7-E5</f>
        <v>1892.7600000000002</v>
      </c>
      <c r="F6" s="6">
        <f t="shared" si="1"/>
        <v>3304.7999999999993</v>
      </c>
      <c r="G6" s="29">
        <f>G5*G10</f>
        <v>2890.2192288555511</v>
      </c>
      <c r="H6" s="29">
        <f t="shared" ref="H6:K6" si="2">H5*H10</f>
        <v>3146.3307042048837</v>
      </c>
      <c r="I6" s="29">
        <f t="shared" si="2"/>
        <v>3424.6473801215507</v>
      </c>
      <c r="J6" s="29">
        <f t="shared" si="2"/>
        <v>3726.9896567877026</v>
      </c>
      <c r="K6" s="29">
        <f t="shared" si="2"/>
        <v>4055.3042384926998</v>
      </c>
    </row>
    <row r="7" spans="2:11" x14ac:dyDescent="0.25">
      <c r="B7" s="21" t="s">
        <v>1</v>
      </c>
      <c r="D7" s="6">
        <f>-'P&amp;L assumptions'!D34</f>
        <v>-1751.01</v>
      </c>
      <c r="E7" s="6">
        <f>-'P&amp;L assumptions'!E34</f>
        <v>-1963.02</v>
      </c>
      <c r="F7" s="6">
        <f>-'P&amp;L assumptions'!F34</f>
        <v>-1985.4</v>
      </c>
      <c r="G7" s="29">
        <f>-'P&amp;L assumptions'!G34</f>
        <v>-1675.1138530000003</v>
      </c>
      <c r="H7" s="29">
        <f>-'P&amp;L assumptions'!H34</f>
        <v>-1825.8740997700004</v>
      </c>
      <c r="I7" s="29">
        <f>-'P&amp;L assumptions'!I34</f>
        <v>-1990.2027687493005</v>
      </c>
      <c r="J7" s="29">
        <f>-'P&amp;L assumptions'!J34</f>
        <v>-2169.3210179367375</v>
      </c>
      <c r="K7" s="29">
        <f>-'P&amp;L assumptions'!K34</f>
        <v>-2364.5599095510443</v>
      </c>
    </row>
    <row r="8" spans="2:11" ht="15.75" thickBot="1" x14ac:dyDescent="0.3">
      <c r="B8" s="12" t="s">
        <v>281</v>
      </c>
      <c r="C8" s="12"/>
      <c r="D8" s="47">
        <f>'BS_L&amp;T'!D29</f>
        <v>12463.33</v>
      </c>
      <c r="E8" s="47">
        <f>'BS_L&amp;T'!C29</f>
        <v>12393.07</v>
      </c>
      <c r="F8" s="47">
        <f>'BS_L&amp;T'!B29</f>
        <v>13712.47</v>
      </c>
      <c r="G8" s="48">
        <f>SUM(G5:G7)</f>
        <v>14927.575375855549</v>
      </c>
      <c r="H8" s="48">
        <f t="shared" ref="H8:K8" si="3">SUM(H5:H7)</f>
        <v>16248.031980290434</v>
      </c>
      <c r="I8" s="48">
        <f t="shared" si="3"/>
        <v>17682.476591662686</v>
      </c>
      <c r="J8" s="48">
        <f t="shared" si="3"/>
        <v>19240.145230513652</v>
      </c>
      <c r="K8" s="48">
        <f t="shared" si="3"/>
        <v>20930.889559455307</v>
      </c>
    </row>
    <row r="9" spans="2:11" x14ac:dyDescent="0.25">
      <c r="B9" s="38"/>
      <c r="D9" s="5"/>
      <c r="E9" s="5"/>
      <c r="F9" s="5"/>
      <c r="G9" s="28"/>
      <c r="H9" s="28"/>
      <c r="I9" s="28"/>
      <c r="J9" s="28"/>
      <c r="K9" s="28"/>
    </row>
    <row r="10" spans="2:11" x14ac:dyDescent="0.25">
      <c r="B10" s="38" t="s">
        <v>282</v>
      </c>
      <c r="D10" s="23">
        <f>D6/D5</f>
        <v>0.2137876972656701</v>
      </c>
      <c r="E10" s="23">
        <f>E6/E5</f>
        <v>0.15186631502174783</v>
      </c>
      <c r="F10" s="23">
        <f>F6/F5</f>
        <v>0.26666516044854094</v>
      </c>
      <c r="G10" s="45">
        <f>AVERAGE($D$10:F10)</f>
        <v>0.21077305757865294</v>
      </c>
      <c r="H10" s="45">
        <f>AVERAGE($D$10:G10)</f>
        <v>0.21077305757865294</v>
      </c>
      <c r="I10" s="45">
        <f>AVERAGE($D$10:H10)</f>
        <v>0.21077305757865297</v>
      </c>
      <c r="J10" s="45">
        <f>AVERAGE($D$10:I10)</f>
        <v>0.21077305757865297</v>
      </c>
      <c r="K10" s="45">
        <f>AVERAGE($D$10:J10)</f>
        <v>0.210773057578653</v>
      </c>
    </row>
    <row r="13" spans="2:11" x14ac:dyDescent="0.25">
      <c r="D13" s="6"/>
    </row>
    <row r="15" spans="2:11" x14ac:dyDescent="0.25">
      <c r="D15" s="6"/>
    </row>
  </sheetData>
  <sheetProtection algorithmName="SHA-512" hashValue="xfW3VJsEgbtDPzfXB3wjp0tjKjL5ArnTEeyDev6rA8Zwrq8iG/eNe4sNeltBy7PE1ycbI+7j4XH4KVHoGhoOHA==" saltValue="fpf0d2wGC8h9JETDa3Dt2g==" spinCount="100000" sheet="1" objects="1" scenarios="1"/>
  <mergeCells count="2">
    <mergeCell ref="D3:F3"/>
    <mergeCell ref="G3:K3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31A49-6597-4C46-8F04-60426AA24AF3}">
  <sheetPr codeName="Sheet20"/>
  <dimension ref="B1:M22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2.5703125" customWidth="1"/>
    <col min="2" max="2" width="26.85546875" bestFit="1" customWidth="1"/>
    <col min="3" max="3" width="10" customWidth="1"/>
    <col min="4" max="4" width="9.7109375" bestFit="1" customWidth="1"/>
  </cols>
  <sheetData>
    <row r="1" spans="2:12" ht="15.75" x14ac:dyDescent="0.25">
      <c r="B1" s="7" t="s">
        <v>32</v>
      </c>
    </row>
    <row r="2" spans="2:12" ht="15.75" x14ac:dyDescent="0.25">
      <c r="B2" s="7"/>
    </row>
    <row r="3" spans="2:12" x14ac:dyDescent="0.25">
      <c r="D3" s="210" t="s">
        <v>11</v>
      </c>
      <c r="E3" s="210"/>
      <c r="F3" s="210"/>
      <c r="G3" s="211" t="s">
        <v>12</v>
      </c>
      <c r="H3" s="211"/>
      <c r="I3" s="211"/>
      <c r="J3" s="211"/>
      <c r="K3" s="211"/>
    </row>
    <row r="4" spans="2:12" ht="15.75" thickBot="1" x14ac:dyDescent="0.3">
      <c r="B4" s="33" t="s">
        <v>276</v>
      </c>
      <c r="C4" s="34"/>
      <c r="D4" s="35">
        <v>45382</v>
      </c>
      <c r="E4" s="36">
        <v>45747</v>
      </c>
      <c r="F4" s="36">
        <v>46112</v>
      </c>
      <c r="G4" s="37">
        <v>46477</v>
      </c>
      <c r="H4" s="37">
        <v>46843</v>
      </c>
      <c r="I4" s="37">
        <v>47208</v>
      </c>
      <c r="J4" s="37">
        <v>47573</v>
      </c>
      <c r="K4" s="37">
        <v>47938</v>
      </c>
    </row>
    <row r="5" spans="2:12" x14ac:dyDescent="0.25">
      <c r="B5" t="s">
        <v>49</v>
      </c>
      <c r="D5" s="6">
        <f>'BS_L&amp;T'!E11</f>
        <v>9390.85</v>
      </c>
      <c r="E5" s="6">
        <f>D8</f>
        <v>11931.14</v>
      </c>
      <c r="F5" s="6">
        <f>E8</f>
        <v>9286</v>
      </c>
      <c r="G5" s="29">
        <f>F8</f>
        <v>9787.67</v>
      </c>
      <c r="H5" s="29">
        <f>G8</f>
        <v>9143.4446806000469</v>
      </c>
      <c r="I5" s="29">
        <f t="shared" ref="I5:K5" si="0">H8</f>
        <v>8441.239082454098</v>
      </c>
      <c r="J5" s="29">
        <f t="shared" si="0"/>
        <v>7675.8349804750142</v>
      </c>
      <c r="K5" s="29">
        <f t="shared" si="0"/>
        <v>6841.5445093178123</v>
      </c>
    </row>
    <row r="6" spans="2:12" x14ac:dyDescent="0.25">
      <c r="B6" s="21" t="s">
        <v>51</v>
      </c>
      <c r="E6" s="6"/>
      <c r="F6" s="6"/>
      <c r="G6" s="29">
        <f>G8-(G5+G7)</f>
        <v>0</v>
      </c>
      <c r="H6" s="29">
        <f t="shared" ref="H6:K6" si="1">H8-(H5+H7)</f>
        <v>0</v>
      </c>
      <c r="I6" s="29">
        <f t="shared" si="1"/>
        <v>0</v>
      </c>
      <c r="J6" s="29">
        <f t="shared" si="1"/>
        <v>0</v>
      </c>
      <c r="K6" s="29">
        <f t="shared" si="1"/>
        <v>0</v>
      </c>
    </row>
    <row r="7" spans="2:12" x14ac:dyDescent="0.25">
      <c r="B7" s="21" t="s">
        <v>52</v>
      </c>
      <c r="E7" s="6"/>
      <c r="F7" s="6"/>
      <c r="G7" s="29">
        <f>C17</f>
        <v>-644.2253193999527</v>
      </c>
      <c r="H7" s="29">
        <f t="shared" ref="H7:K7" si="2">D17</f>
        <v>-702.20559814594856</v>
      </c>
      <c r="I7" s="29">
        <f t="shared" si="2"/>
        <v>-765.40410197908398</v>
      </c>
      <c r="J7" s="29">
        <f t="shared" si="2"/>
        <v>-834.29047115720152</v>
      </c>
      <c r="K7" s="29">
        <f t="shared" si="2"/>
        <v>-909.37661356134959</v>
      </c>
    </row>
    <row r="8" spans="2:12" ht="15.75" thickBot="1" x14ac:dyDescent="0.3">
      <c r="B8" s="12" t="s">
        <v>50</v>
      </c>
      <c r="C8" s="12"/>
      <c r="D8" s="47">
        <f>'BS_L&amp;T'!D11</f>
        <v>11931.14</v>
      </c>
      <c r="E8" s="47">
        <f>'BS_L&amp;T'!C11</f>
        <v>9286</v>
      </c>
      <c r="F8" s="47">
        <f>'BS_L&amp;T'!B11</f>
        <v>9787.67</v>
      </c>
      <c r="G8" s="48">
        <f>C18</f>
        <v>9143.4446806000469</v>
      </c>
      <c r="H8" s="48">
        <f t="shared" ref="H8:K8" si="3">D18</f>
        <v>8441.239082454098</v>
      </c>
      <c r="I8" s="48">
        <f t="shared" si="3"/>
        <v>7675.8349804750142</v>
      </c>
      <c r="J8" s="48">
        <f t="shared" si="3"/>
        <v>6841.5445093178123</v>
      </c>
      <c r="K8" s="48">
        <f t="shared" si="3"/>
        <v>5932.1678957564627</v>
      </c>
    </row>
    <row r="9" spans="2:12" x14ac:dyDescent="0.25">
      <c r="B9" s="38"/>
      <c r="D9" s="5"/>
      <c r="E9" s="5"/>
      <c r="F9" s="5"/>
      <c r="G9" s="5"/>
      <c r="H9" s="5"/>
      <c r="I9" s="5"/>
      <c r="J9" s="5"/>
      <c r="K9" s="5"/>
    </row>
    <row r="10" spans="2:12" x14ac:dyDescent="0.25">
      <c r="B10" s="46" t="s">
        <v>53</v>
      </c>
      <c r="C10" s="46">
        <v>10</v>
      </c>
      <c r="D10" s="55"/>
      <c r="E10" s="49"/>
      <c r="F10" s="49"/>
      <c r="G10" s="53"/>
      <c r="H10" s="53"/>
      <c r="I10" s="53"/>
      <c r="J10" s="53"/>
      <c r="K10" s="53"/>
      <c r="L10" s="46"/>
    </row>
    <row r="11" spans="2:12" x14ac:dyDescent="0.25">
      <c r="B11" s="46" t="s">
        <v>54</v>
      </c>
      <c r="C11" s="56">
        <v>0.09</v>
      </c>
      <c r="D11" s="55"/>
      <c r="E11" s="55"/>
      <c r="F11" s="55"/>
      <c r="G11" s="55"/>
      <c r="H11" s="55"/>
      <c r="I11" s="55"/>
      <c r="J11" s="55"/>
      <c r="K11" s="55"/>
      <c r="L11" s="46"/>
    </row>
    <row r="12" spans="2:12" x14ac:dyDescent="0.25">
      <c r="B12" s="46" t="s">
        <v>55</v>
      </c>
      <c r="C12" s="55">
        <f>PMT(C11,C10,F8)</f>
        <v>-1525.1156193999527</v>
      </c>
      <c r="D12" s="57"/>
      <c r="E12" s="57"/>
      <c r="F12" s="57"/>
      <c r="G12" s="57"/>
      <c r="H12" s="57"/>
      <c r="I12" s="57"/>
      <c r="J12" s="57"/>
      <c r="K12" s="57"/>
      <c r="L12" s="46"/>
    </row>
    <row r="13" spans="2:12" x14ac:dyDescent="0.25">
      <c r="B13" s="46"/>
      <c r="C13" s="46"/>
      <c r="D13" s="55"/>
      <c r="E13" s="55"/>
      <c r="F13" s="55"/>
      <c r="G13" s="46"/>
      <c r="H13" s="46"/>
      <c r="I13" s="46"/>
      <c r="J13" s="46"/>
      <c r="K13" s="46"/>
      <c r="L13" s="46"/>
    </row>
    <row r="14" spans="2:12" x14ac:dyDescent="0.25">
      <c r="B14" s="58" t="s">
        <v>56</v>
      </c>
      <c r="C14" s="58">
        <v>1</v>
      </c>
      <c r="D14" s="59">
        <v>2</v>
      </c>
      <c r="E14" s="58">
        <v>3</v>
      </c>
      <c r="F14" s="59">
        <v>4</v>
      </c>
      <c r="G14" s="58">
        <v>5</v>
      </c>
      <c r="H14" s="59">
        <v>6</v>
      </c>
      <c r="I14" s="58">
        <v>7</v>
      </c>
      <c r="J14" s="59">
        <v>8</v>
      </c>
      <c r="K14" s="58">
        <v>9</v>
      </c>
      <c r="L14" s="58">
        <v>10</v>
      </c>
    </row>
    <row r="15" spans="2:12" x14ac:dyDescent="0.25">
      <c r="B15" s="46" t="s">
        <v>55</v>
      </c>
      <c r="C15" s="55">
        <f>$C$12</f>
        <v>-1525.1156193999527</v>
      </c>
      <c r="D15" s="55">
        <f t="shared" ref="D15:L15" si="4">$C$12</f>
        <v>-1525.1156193999527</v>
      </c>
      <c r="E15" s="55">
        <f t="shared" si="4"/>
        <v>-1525.1156193999527</v>
      </c>
      <c r="F15" s="55">
        <f t="shared" si="4"/>
        <v>-1525.1156193999527</v>
      </c>
      <c r="G15" s="55">
        <f t="shared" si="4"/>
        <v>-1525.1156193999527</v>
      </c>
      <c r="H15" s="55">
        <f t="shared" si="4"/>
        <v>-1525.1156193999527</v>
      </c>
      <c r="I15" s="55">
        <f t="shared" si="4"/>
        <v>-1525.1156193999527</v>
      </c>
      <c r="J15" s="55">
        <f t="shared" si="4"/>
        <v>-1525.1156193999527</v>
      </c>
      <c r="K15" s="55">
        <f t="shared" si="4"/>
        <v>-1525.1156193999527</v>
      </c>
      <c r="L15" s="55">
        <f t="shared" si="4"/>
        <v>-1525.1156193999527</v>
      </c>
    </row>
    <row r="16" spans="2:12" x14ac:dyDescent="0.25">
      <c r="B16" s="46" t="s">
        <v>5</v>
      </c>
      <c r="C16" s="55">
        <f>-F8*$C$11</f>
        <v>-880.89030000000002</v>
      </c>
      <c r="D16" s="55">
        <f>-C18*$C$11</f>
        <v>-822.91002125400416</v>
      </c>
      <c r="E16" s="55">
        <f t="shared" ref="E16:L16" si="5">-D18*$C$11</f>
        <v>-759.71151742086874</v>
      </c>
      <c r="F16" s="55">
        <f t="shared" si="5"/>
        <v>-690.8251482427512</v>
      </c>
      <c r="G16" s="55">
        <f t="shared" si="5"/>
        <v>-615.73900583860313</v>
      </c>
      <c r="H16" s="55">
        <f t="shared" si="5"/>
        <v>-533.89511061808162</v>
      </c>
      <c r="I16" s="55">
        <f t="shared" si="5"/>
        <v>-444.68526482771324</v>
      </c>
      <c r="J16" s="55">
        <f t="shared" si="5"/>
        <v>-347.44653291621165</v>
      </c>
      <c r="K16" s="55">
        <f t="shared" si="5"/>
        <v>-241.45631513267497</v>
      </c>
      <c r="L16" s="55">
        <f t="shared" si="5"/>
        <v>-125.92697774861999</v>
      </c>
    </row>
    <row r="17" spans="2:13" x14ac:dyDescent="0.25">
      <c r="B17" s="46" t="s">
        <v>52</v>
      </c>
      <c r="C17" s="55">
        <f>C15-C16</f>
        <v>-644.2253193999527</v>
      </c>
      <c r="D17" s="55">
        <f t="shared" ref="D17:L17" si="6">D15-D16</f>
        <v>-702.20559814594856</v>
      </c>
      <c r="E17" s="55">
        <f t="shared" si="6"/>
        <v>-765.40410197908398</v>
      </c>
      <c r="F17" s="55">
        <f t="shared" si="6"/>
        <v>-834.29047115720152</v>
      </c>
      <c r="G17" s="55">
        <f t="shared" si="6"/>
        <v>-909.37661356134959</v>
      </c>
      <c r="H17" s="55">
        <f t="shared" si="6"/>
        <v>-991.2205087818711</v>
      </c>
      <c r="I17" s="55">
        <f t="shared" si="6"/>
        <v>-1080.4303545722396</v>
      </c>
      <c r="J17" s="55">
        <f t="shared" si="6"/>
        <v>-1177.669086483741</v>
      </c>
      <c r="K17" s="55">
        <f t="shared" si="6"/>
        <v>-1283.6593042672778</v>
      </c>
      <c r="L17" s="55">
        <f t="shared" si="6"/>
        <v>-1399.1886416513328</v>
      </c>
    </row>
    <row r="18" spans="2:13" x14ac:dyDescent="0.25">
      <c r="B18" s="46" t="s">
        <v>57</v>
      </c>
      <c r="C18" s="55">
        <f>F8+C17</f>
        <v>9143.4446806000469</v>
      </c>
      <c r="D18" s="55">
        <f>C18+D17</f>
        <v>8441.239082454098</v>
      </c>
      <c r="E18" s="55">
        <f t="shared" ref="E18:L18" si="7">D18+E17</f>
        <v>7675.8349804750142</v>
      </c>
      <c r="F18" s="55">
        <f t="shared" si="7"/>
        <v>6841.5445093178123</v>
      </c>
      <c r="G18" s="55">
        <f t="shared" si="7"/>
        <v>5932.1678957564627</v>
      </c>
      <c r="H18" s="55">
        <f t="shared" si="7"/>
        <v>4940.9473869745916</v>
      </c>
      <c r="I18" s="55">
        <f t="shared" si="7"/>
        <v>3860.517032402352</v>
      </c>
      <c r="J18" s="55">
        <f t="shared" si="7"/>
        <v>2682.847945918611</v>
      </c>
      <c r="K18" s="55">
        <f t="shared" si="7"/>
        <v>1399.1886416513332</v>
      </c>
      <c r="L18" s="55">
        <f t="shared" si="7"/>
        <v>0</v>
      </c>
      <c r="M18" s="54"/>
    </row>
    <row r="19" spans="2:13" x14ac:dyDescent="0.25">
      <c r="D19" s="6"/>
      <c r="E19" s="6"/>
      <c r="F19" s="6"/>
    </row>
    <row r="20" spans="2:13" x14ac:dyDescent="0.25">
      <c r="D20" s="6"/>
      <c r="E20" s="6"/>
      <c r="F20" s="6"/>
      <c r="G20" s="6"/>
      <c r="H20" s="6"/>
      <c r="I20" s="6"/>
      <c r="J20" s="6"/>
      <c r="K20" s="6"/>
    </row>
    <row r="21" spans="2:13" x14ac:dyDescent="0.25">
      <c r="B21" s="38"/>
      <c r="D21" s="51"/>
      <c r="E21" s="51"/>
      <c r="F21" s="51"/>
      <c r="G21" s="52"/>
      <c r="H21" s="52"/>
      <c r="I21" s="52"/>
      <c r="J21" s="52"/>
      <c r="K21" s="52"/>
    </row>
    <row r="22" spans="2:13" x14ac:dyDescent="0.25">
      <c r="D22" s="6"/>
      <c r="E22" s="6"/>
      <c r="F22" s="6"/>
    </row>
  </sheetData>
  <sheetProtection algorithmName="SHA-512" hashValue="BhjZYwKCg7d4vjrEQNMwPvUp1h/8ac+rIIDHPxPFjsMrGKtrXMYU8Q0sGDNC+uZA7gO0UtXRjbAc+KOXA+XHEQ==" saltValue="RQFmOgBeRLMziLBBnEKB2w==" spinCount="100000" sheet="1" objects="1" scenarios="1"/>
  <mergeCells count="2">
    <mergeCell ref="D3:F3"/>
    <mergeCell ref="G3:K3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B21F7-E082-4A39-8027-6507D4E447CE}">
  <sheetPr codeName="Sheet21"/>
  <dimension ref="B1:K20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2.5703125" customWidth="1"/>
    <col min="2" max="2" width="36.28515625" bestFit="1" customWidth="1"/>
    <col min="4" max="4" width="9.7109375" bestFit="1" customWidth="1"/>
  </cols>
  <sheetData>
    <row r="1" spans="2:11" ht="15.75" x14ac:dyDescent="0.25">
      <c r="B1" s="7" t="s">
        <v>313</v>
      </c>
    </row>
    <row r="2" spans="2:11" ht="15.75" x14ac:dyDescent="0.25">
      <c r="B2" s="7"/>
    </row>
    <row r="3" spans="2:11" x14ac:dyDescent="0.25">
      <c r="D3" s="210" t="s">
        <v>11</v>
      </c>
      <c r="E3" s="210"/>
      <c r="F3" s="210"/>
      <c r="G3" s="211" t="s">
        <v>12</v>
      </c>
      <c r="H3" s="211"/>
      <c r="I3" s="211"/>
      <c r="J3" s="211"/>
      <c r="K3" s="211"/>
    </row>
    <row r="4" spans="2:11" ht="15.75" thickBot="1" x14ac:dyDescent="0.3">
      <c r="B4" s="33" t="s">
        <v>276</v>
      </c>
      <c r="C4" s="34"/>
      <c r="D4" s="35">
        <v>45382</v>
      </c>
      <c r="E4" s="36">
        <v>45747</v>
      </c>
      <c r="F4" s="36">
        <v>46112</v>
      </c>
      <c r="G4" s="37">
        <v>46477</v>
      </c>
      <c r="H4" s="37">
        <v>46843</v>
      </c>
      <c r="I4" s="37">
        <v>47208</v>
      </c>
      <c r="J4" s="37">
        <v>47573</v>
      </c>
      <c r="K4" s="37">
        <v>47938</v>
      </c>
    </row>
    <row r="5" spans="2:11" x14ac:dyDescent="0.25">
      <c r="B5" t="s">
        <v>44</v>
      </c>
      <c r="D5" s="6">
        <f>'BS_L&amp;T'!E5</f>
        <v>355.71999999999537</v>
      </c>
      <c r="E5" s="6">
        <f>D9</f>
        <v>274.93</v>
      </c>
      <c r="F5" s="6">
        <f>E9</f>
        <v>275.04000000000002</v>
      </c>
      <c r="G5" s="29">
        <f>F9</f>
        <v>275.13</v>
      </c>
      <c r="H5" s="29">
        <f t="shared" ref="H5:K5" si="0">G9</f>
        <v>4486.9167777123384</v>
      </c>
      <c r="I5" s="29">
        <f t="shared" si="0"/>
        <v>9115.2834701331958</v>
      </c>
      <c r="J5" s="29">
        <f t="shared" si="0"/>
        <v>14192.068871777443</v>
      </c>
      <c r="K5" s="29">
        <f t="shared" si="0"/>
        <v>19752.226721788815</v>
      </c>
    </row>
    <row r="6" spans="2:11" x14ac:dyDescent="0.25">
      <c r="B6" s="21" t="s">
        <v>45</v>
      </c>
      <c r="D6" s="6">
        <f>D9-(D5+D7+D8)</f>
        <v>-2313.8291999999969</v>
      </c>
      <c r="E6" s="6">
        <f>E9-(E5+E7+E8)</f>
        <v>-2608.8628000000017</v>
      </c>
      <c r="F6" s="6">
        <f>F9-(F5+F7+F8)</f>
        <v>-1508.8212000000071</v>
      </c>
      <c r="G6" s="29">
        <v>0</v>
      </c>
      <c r="H6" s="29">
        <v>0</v>
      </c>
      <c r="I6" s="29">
        <v>0</v>
      </c>
      <c r="J6" s="29">
        <v>0</v>
      </c>
      <c r="K6" s="29">
        <v>0</v>
      </c>
    </row>
    <row r="7" spans="2:11" x14ac:dyDescent="0.25">
      <c r="B7" s="160" t="s">
        <v>283</v>
      </c>
      <c r="D7" s="6">
        <f>'P&amp;L'!D16*0.4</f>
        <v>3721.7320000000022</v>
      </c>
      <c r="E7" s="6">
        <f>'P&amp;L'!E16*0.4</f>
        <v>4348.2880000000023</v>
      </c>
      <c r="F7" s="6">
        <f>'P&amp;L'!F16*0.4</f>
        <v>2514.8520000000121</v>
      </c>
      <c r="G7" s="29">
        <f>'P&amp;L'!G16*0.4</f>
        <v>7019.6446295205651</v>
      </c>
      <c r="H7" s="29">
        <f>'P&amp;L'!H16*0.4</f>
        <v>7713.9444873680977</v>
      </c>
      <c r="I7" s="29">
        <f>'P&amp;L'!I16*0.4</f>
        <v>8461.3090027404105</v>
      </c>
      <c r="J7" s="29">
        <f>'P&amp;L'!J16*0.4</f>
        <v>9266.929750018955</v>
      </c>
      <c r="K7" s="29">
        <f>'P&amp;L'!K16*0.4</f>
        <v>10136.403981489912</v>
      </c>
    </row>
    <row r="8" spans="2:11" x14ac:dyDescent="0.25">
      <c r="B8" s="21" t="s">
        <v>46</v>
      </c>
      <c r="D8" s="6">
        <f>-D7*D11</f>
        <v>-1488.6928000000009</v>
      </c>
      <c r="E8" s="6">
        <f>-E7*E11</f>
        <v>-1739.3152000000009</v>
      </c>
      <c r="F8" s="6">
        <f t="shared" ref="F8:K8" si="1">-F7*F11</f>
        <v>-1005.9408000000049</v>
      </c>
      <c r="G8" s="29">
        <f t="shared" si="1"/>
        <v>-2807.8578518082263</v>
      </c>
      <c r="H8" s="29">
        <f t="shared" si="1"/>
        <v>-3085.5777949472395</v>
      </c>
      <c r="I8" s="29">
        <f t="shared" si="1"/>
        <v>-3384.5236010961644</v>
      </c>
      <c r="J8" s="29">
        <f t="shared" si="1"/>
        <v>-3706.7719000075822</v>
      </c>
      <c r="K8" s="29">
        <f t="shared" si="1"/>
        <v>-4054.5615925959646</v>
      </c>
    </row>
    <row r="9" spans="2:11" ht="15.75" thickBot="1" x14ac:dyDescent="0.3">
      <c r="B9" s="12" t="s">
        <v>47</v>
      </c>
      <c r="C9" s="12"/>
      <c r="D9" s="47">
        <f>'BS_L&amp;T'!D5</f>
        <v>274.93</v>
      </c>
      <c r="E9" s="47">
        <f>'BS_L&amp;T'!C5</f>
        <v>275.04000000000002</v>
      </c>
      <c r="F9" s="47">
        <f>'BS_L&amp;T'!B5</f>
        <v>275.13</v>
      </c>
      <c r="G9" s="48">
        <f>SUM(G5:G8)</f>
        <v>4486.9167777123384</v>
      </c>
      <c r="H9" s="48">
        <f t="shared" ref="H9:K9" si="2">SUM(H5:H8)</f>
        <v>9115.2834701331958</v>
      </c>
      <c r="I9" s="48">
        <f t="shared" si="2"/>
        <v>14192.068871777443</v>
      </c>
      <c r="J9" s="48">
        <f t="shared" si="2"/>
        <v>19752.226721788815</v>
      </c>
      <c r="K9" s="48">
        <f t="shared" si="2"/>
        <v>25834.069110682762</v>
      </c>
    </row>
    <row r="10" spans="2:11" x14ac:dyDescent="0.25">
      <c r="B10" s="38"/>
      <c r="D10" s="5"/>
      <c r="E10" s="5"/>
      <c r="F10" s="5"/>
      <c r="G10" s="28"/>
      <c r="H10" s="28"/>
      <c r="I10" s="28"/>
      <c r="J10" s="28"/>
      <c r="K10" s="28"/>
    </row>
    <row r="11" spans="2:11" x14ac:dyDescent="0.25">
      <c r="B11" s="38" t="s">
        <v>48</v>
      </c>
      <c r="D11" s="49">
        <v>0.4</v>
      </c>
      <c r="E11" s="49">
        <v>0.4</v>
      </c>
      <c r="F11" s="49">
        <v>0.4</v>
      </c>
      <c r="G11" s="50">
        <f>F11</f>
        <v>0.4</v>
      </c>
      <c r="H11" s="50">
        <f t="shared" ref="H11:K11" si="3">G11</f>
        <v>0.4</v>
      </c>
      <c r="I11" s="50">
        <f t="shared" si="3"/>
        <v>0.4</v>
      </c>
      <c r="J11" s="50">
        <f t="shared" si="3"/>
        <v>0.4</v>
      </c>
      <c r="K11" s="50">
        <f t="shared" si="3"/>
        <v>0.4</v>
      </c>
    </row>
    <row r="13" spans="2:11" ht="7.5" customHeight="1" x14ac:dyDescent="0.25"/>
    <row r="14" spans="2:11" ht="6.75" customHeight="1" x14ac:dyDescent="0.25">
      <c r="B14" s="7"/>
    </row>
    <row r="15" spans="2:11" x14ac:dyDescent="0.25">
      <c r="D15" s="210" t="s">
        <v>11</v>
      </c>
      <c r="E15" s="210"/>
      <c r="F15" s="210"/>
      <c r="G15" s="211" t="s">
        <v>12</v>
      </c>
      <c r="H15" s="211"/>
      <c r="I15" s="211"/>
      <c r="J15" s="211"/>
      <c r="K15" s="211"/>
    </row>
    <row r="16" spans="2:11" ht="15.75" thickBot="1" x14ac:dyDescent="0.3">
      <c r="B16" s="33" t="s">
        <v>276</v>
      </c>
      <c r="C16" s="34"/>
      <c r="D16" s="35">
        <v>45382</v>
      </c>
      <c r="E16" s="36">
        <v>45747</v>
      </c>
      <c r="F16" s="36">
        <v>46112</v>
      </c>
      <c r="G16" s="37">
        <v>46477</v>
      </c>
      <c r="H16" s="37">
        <v>46843</v>
      </c>
      <c r="I16" s="37">
        <v>47208</v>
      </c>
      <c r="J16" s="37">
        <v>47573</v>
      </c>
      <c r="K16" s="37">
        <v>47938</v>
      </c>
    </row>
    <row r="17" spans="2:11" x14ac:dyDescent="0.25">
      <c r="B17" t="s">
        <v>284</v>
      </c>
      <c r="D17" s="6">
        <f>'BS_L&amp;T'!E8</f>
        <v>71172.23</v>
      </c>
      <c r="E17" s="6">
        <f>'BS_L&amp;T'!D8</f>
        <v>64141.11</v>
      </c>
      <c r="F17" s="6">
        <f>'BS_L&amp;T'!C7</f>
        <v>71620.800000000003</v>
      </c>
      <c r="G17" s="29">
        <f>F20</f>
        <v>74257.77</v>
      </c>
      <c r="H17" s="29">
        <f>G20</f>
        <v>84787.236944280856</v>
      </c>
      <c r="I17" s="29">
        <f t="shared" ref="I17:K17" si="4">H20</f>
        <v>96358.153675333</v>
      </c>
      <c r="J17" s="29">
        <f t="shared" si="4"/>
        <v>109050.11717944362</v>
      </c>
      <c r="K17" s="29">
        <f t="shared" si="4"/>
        <v>122950.51180447206</v>
      </c>
    </row>
    <row r="18" spans="2:11" x14ac:dyDescent="0.25">
      <c r="B18" t="s">
        <v>287</v>
      </c>
      <c r="D18" s="6">
        <f>D20-D17-D19</f>
        <v>-12613.717999999997</v>
      </c>
      <c r="E18" s="6">
        <f t="shared" ref="E18:F18" si="5">E20-E17-E19</f>
        <v>957.25799999999981</v>
      </c>
      <c r="F18" s="6">
        <f t="shared" si="5"/>
        <v>-1135.3080000000168</v>
      </c>
      <c r="G18" s="29">
        <v>0</v>
      </c>
      <c r="H18" s="29">
        <v>0</v>
      </c>
      <c r="I18" s="29">
        <v>0</v>
      </c>
      <c r="J18" s="29">
        <v>0</v>
      </c>
      <c r="K18" s="29">
        <v>0</v>
      </c>
    </row>
    <row r="19" spans="2:11" x14ac:dyDescent="0.25">
      <c r="B19" t="s">
        <v>285</v>
      </c>
      <c r="D19" s="6">
        <f>'P&amp;L'!D16*0.6</f>
        <v>5582.5980000000027</v>
      </c>
      <c r="E19" s="6">
        <f>'P&amp;L'!E16*0.6</f>
        <v>6522.4320000000025</v>
      </c>
      <c r="F19" s="6">
        <f>'P&amp;L'!F16*0.6</f>
        <v>3772.278000000018</v>
      </c>
      <c r="G19" s="29">
        <f>'P&amp;L'!G16*0.6</f>
        <v>10529.466944280846</v>
      </c>
      <c r="H19" s="29">
        <f>'P&amp;L'!H16*0.6</f>
        <v>11570.916731052146</v>
      </c>
      <c r="I19" s="29">
        <f>'P&amp;L'!I16*0.6</f>
        <v>12691.963504110616</v>
      </c>
      <c r="J19" s="29">
        <f>'P&amp;L'!J16*0.6</f>
        <v>13900.39462502843</v>
      </c>
      <c r="K19" s="29">
        <f>'P&amp;L'!K16*0.6</f>
        <v>15204.605972234865</v>
      </c>
    </row>
    <row r="20" spans="2:11" ht="15.75" thickBot="1" x14ac:dyDescent="0.3">
      <c r="B20" s="12" t="s">
        <v>286</v>
      </c>
      <c r="C20" s="12"/>
      <c r="D20" s="47">
        <f>'BS_L&amp;T'!D8</f>
        <v>64141.11</v>
      </c>
      <c r="E20" s="47">
        <f>'BS_L&amp;T'!C8</f>
        <v>71620.800000000003</v>
      </c>
      <c r="F20" s="47">
        <f>'BS_L&amp;T'!B8</f>
        <v>74257.77</v>
      </c>
      <c r="G20" s="48">
        <f>SUM(G17:G19)</f>
        <v>84787.236944280856</v>
      </c>
      <c r="H20" s="48">
        <f t="shared" ref="H20:K20" si="6">SUM(H17:H19)</f>
        <v>96358.153675333</v>
      </c>
      <c r="I20" s="48">
        <f t="shared" si="6"/>
        <v>109050.11717944362</v>
      </c>
      <c r="J20" s="48">
        <f t="shared" si="6"/>
        <v>122950.51180447206</v>
      </c>
      <c r="K20" s="48">
        <f t="shared" si="6"/>
        <v>138155.11777670693</v>
      </c>
    </row>
  </sheetData>
  <sheetProtection algorithmName="SHA-512" hashValue="QdXq21dI6KOxRXPJsrhzmtzm/JtG12FO1WEeiWtjcMYiDAIumnC0eB2HUDxNE7JRf0ZCVrh7cCsS6QYBcrcdgA==" saltValue="ukZkNbCNV/BiVt7X/ukM1A==" spinCount="100000" sheet="1" objects="1" scenarios="1"/>
  <mergeCells count="4">
    <mergeCell ref="D3:F3"/>
    <mergeCell ref="G3:K3"/>
    <mergeCell ref="D15:F15"/>
    <mergeCell ref="G15:K15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6E8B6-8CEA-4469-A9F7-5FDFDE8CC7C2}">
  <sheetPr codeName="Sheet22">
    <tabColor rgb="FF002060"/>
  </sheetPr>
  <dimension ref="B1:B11"/>
  <sheetViews>
    <sheetView workbookViewId="0"/>
  </sheetViews>
  <sheetFormatPr defaultRowHeight="12" x14ac:dyDescent="0.2"/>
  <cols>
    <col min="1" max="1" width="2" style="31" customWidth="1"/>
    <col min="2" max="16384" width="9.140625" style="31"/>
  </cols>
  <sheetData>
    <row r="1" spans="2:2" ht="15.75" x14ac:dyDescent="0.25">
      <c r="B1" s="30"/>
    </row>
    <row r="11" spans="2:2" ht="41.25" x14ac:dyDescent="0.6">
      <c r="B11" s="32" t="s">
        <v>116</v>
      </c>
    </row>
  </sheetData>
  <sheetProtection algorithmName="SHA-512" hashValue="VbI8KN8mQtuIjN5jyRClG+vuLS47Ue8cC7Mg3r2okk9KNaioqsfCf3UT31qcuQZQIU1vMAxgq9y4qpINBpfBFg==" saltValue="uFOqbRP7gqd8SdCMRBLgPw==" spinCount="100000" sheet="1" objects="1" scenarios="1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0CBC4-59E4-4AA2-B9A8-E6D7A721D5D3}">
  <sheetPr codeName="Sheet24"/>
  <dimension ref="A1:I4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72" style="141" bestFit="1" customWidth="1"/>
    <col min="2" max="6" width="11.85546875" style="141" bestFit="1" customWidth="1"/>
    <col min="7" max="16384" width="9.140625" style="141"/>
  </cols>
  <sheetData>
    <row r="1" spans="1:9" ht="15.75" thickBot="1" x14ac:dyDescent="0.3">
      <c r="A1" s="138" t="s">
        <v>161</v>
      </c>
      <c r="B1" s="139">
        <v>46082</v>
      </c>
      <c r="C1" s="139">
        <v>45717</v>
      </c>
      <c r="D1" s="139">
        <v>45352</v>
      </c>
      <c r="E1" s="139">
        <v>44986</v>
      </c>
      <c r="F1" s="139">
        <v>44621</v>
      </c>
      <c r="G1" s="140"/>
    </row>
    <row r="2" spans="1:9" ht="15.75" thickBot="1" x14ac:dyDescent="0.3">
      <c r="A2" s="142"/>
      <c r="B2" s="143" t="s">
        <v>162</v>
      </c>
      <c r="C2" s="143" t="s">
        <v>162</v>
      </c>
      <c r="D2" s="143" t="s">
        <v>162</v>
      </c>
      <c r="E2" s="143" t="s">
        <v>162</v>
      </c>
      <c r="F2" s="143" t="s">
        <v>162</v>
      </c>
      <c r="G2" s="143"/>
    </row>
    <row r="3" spans="1:9" ht="15.75" thickBot="1" x14ac:dyDescent="0.3">
      <c r="A3" s="144" t="s">
        <v>163</v>
      </c>
      <c r="B3" s="145"/>
      <c r="C3" s="145"/>
      <c r="D3" s="145"/>
      <c r="E3" s="145"/>
      <c r="F3" s="145"/>
      <c r="G3" s="145"/>
    </row>
    <row r="4" spans="1:9" ht="15.75" thickBot="1" x14ac:dyDescent="0.3">
      <c r="A4" s="146" t="s">
        <v>164</v>
      </c>
      <c r="B4" s="147">
        <v>153680.17000000001</v>
      </c>
      <c r="C4" s="147">
        <v>141187.15</v>
      </c>
      <c r="D4" s="147">
        <v>125068.51</v>
      </c>
      <c r="E4" s="147">
        <v>109204.03</v>
      </c>
      <c r="F4" s="147">
        <v>100383.8</v>
      </c>
      <c r="G4" s="148"/>
    </row>
    <row r="5" spans="1:9" ht="15.75" thickBot="1" x14ac:dyDescent="0.3">
      <c r="A5" s="142" t="s">
        <v>165</v>
      </c>
      <c r="B5" s="143">
        <v>0</v>
      </c>
      <c r="C5" s="143">
        <v>0</v>
      </c>
      <c r="D5" s="143">
        <v>0</v>
      </c>
      <c r="E5" s="143">
        <v>0</v>
      </c>
      <c r="F5" s="143">
        <v>0</v>
      </c>
      <c r="G5" s="143"/>
    </row>
    <row r="6" spans="1:9" ht="15.75" thickBot="1" x14ac:dyDescent="0.3">
      <c r="A6" s="146" t="s">
        <v>166</v>
      </c>
      <c r="B6" s="147">
        <v>153680.17000000001</v>
      </c>
      <c r="C6" s="147">
        <v>141187.15</v>
      </c>
      <c r="D6" s="147">
        <v>125068.51</v>
      </c>
      <c r="E6" s="147">
        <v>109204.03</v>
      </c>
      <c r="F6" s="147">
        <v>100383.8</v>
      </c>
      <c r="G6" s="148"/>
      <c r="I6" s="155"/>
    </row>
    <row r="7" spans="1:9" ht="15.75" thickBot="1" x14ac:dyDescent="0.3">
      <c r="A7" s="146" t="s">
        <v>167</v>
      </c>
      <c r="B7" s="147">
        <v>153680.17000000001</v>
      </c>
      <c r="C7" s="147">
        <v>142509.01</v>
      </c>
      <c r="D7" s="147">
        <v>126235.85</v>
      </c>
      <c r="E7" s="147">
        <v>110500.98</v>
      </c>
      <c r="F7" s="147">
        <v>101000.41</v>
      </c>
      <c r="G7" s="148"/>
    </row>
    <row r="8" spans="1:9" ht="15.75" thickBot="1" x14ac:dyDescent="0.3">
      <c r="A8" s="142" t="s">
        <v>168</v>
      </c>
      <c r="B8" s="149">
        <v>7358.45</v>
      </c>
      <c r="C8" s="149">
        <v>5669.21</v>
      </c>
      <c r="D8" s="149">
        <v>5340.6</v>
      </c>
      <c r="E8" s="149">
        <v>4034.95</v>
      </c>
      <c r="F8" s="149">
        <v>3612.65</v>
      </c>
      <c r="G8" s="143"/>
    </row>
    <row r="9" spans="1:9" ht="24" customHeight="1" thickBot="1" x14ac:dyDescent="0.3">
      <c r="A9" s="146" t="s">
        <v>13</v>
      </c>
      <c r="B9" s="147">
        <v>161038.62</v>
      </c>
      <c r="C9" s="147">
        <v>148178.22</v>
      </c>
      <c r="D9" s="147">
        <v>131576.45000000001</v>
      </c>
      <c r="E9" s="147">
        <v>114535.93</v>
      </c>
      <c r="F9" s="147">
        <v>104613.06</v>
      </c>
      <c r="G9" s="148"/>
    </row>
    <row r="10" spans="1:9" ht="24" customHeight="1" thickBot="1" x14ac:dyDescent="0.3">
      <c r="A10" s="144" t="s">
        <v>169</v>
      </c>
      <c r="B10" s="145"/>
      <c r="C10" s="145"/>
      <c r="D10" s="145"/>
      <c r="E10" s="145"/>
      <c r="F10" s="145"/>
      <c r="G10" s="145"/>
    </row>
    <row r="11" spans="1:9" ht="15.75" thickBot="1" x14ac:dyDescent="0.3">
      <c r="A11" s="142" t="s">
        <v>170</v>
      </c>
      <c r="B11" s="149">
        <v>19804.95</v>
      </c>
      <c r="C11" s="149">
        <v>15219.9</v>
      </c>
      <c r="D11" s="149">
        <v>11621.48</v>
      </c>
      <c r="E11" s="149">
        <v>13163.05</v>
      </c>
      <c r="F11" s="149">
        <v>12590.86</v>
      </c>
      <c r="G11" s="143"/>
    </row>
    <row r="12" spans="1:9" ht="15.75" thickBot="1" x14ac:dyDescent="0.3">
      <c r="A12" s="142" t="s">
        <v>171</v>
      </c>
      <c r="B12" s="149">
        <v>1250.49</v>
      </c>
      <c r="C12" s="149">
        <v>1409.9</v>
      </c>
      <c r="D12" s="149">
        <v>1078.54</v>
      </c>
      <c r="E12" s="149">
        <v>1076.29</v>
      </c>
      <c r="F12" s="149">
        <v>1070.6199999999999</v>
      </c>
      <c r="G12" s="143"/>
    </row>
    <row r="13" spans="1:9" ht="36" customHeight="1" thickBot="1" x14ac:dyDescent="0.3">
      <c r="A13" s="142" t="s">
        <v>172</v>
      </c>
      <c r="B13" s="143">
        <v>104453.4</v>
      </c>
      <c r="C13" s="149">
        <v>98936.29</v>
      </c>
      <c r="D13" s="149">
        <v>91121.19</v>
      </c>
      <c r="E13" s="149">
        <v>79085.72</v>
      </c>
      <c r="F13" s="149">
        <v>69848.240000000005</v>
      </c>
      <c r="G13" s="143"/>
    </row>
    <row r="14" spans="1:9" ht="15.75" thickBot="1" x14ac:dyDescent="0.3">
      <c r="A14" s="142" t="s">
        <v>173</v>
      </c>
      <c r="B14" s="143">
        <v>139.05000000000001</v>
      </c>
      <c r="C14" s="149">
        <v>1089.23</v>
      </c>
      <c r="D14" s="143">
        <v>411.83</v>
      </c>
      <c r="E14" s="149">
        <v>-2930.73</v>
      </c>
      <c r="F14" s="149">
        <v>-1944.37</v>
      </c>
      <c r="G14" s="143"/>
    </row>
    <row r="15" spans="1:9" ht="15.75" thickBot="1" x14ac:dyDescent="0.3">
      <c r="A15" s="142" t="s">
        <v>174</v>
      </c>
      <c r="B15" s="149">
        <v>11602.89</v>
      </c>
      <c r="C15" s="149">
        <v>10380.08</v>
      </c>
      <c r="D15" s="149">
        <v>8864.41</v>
      </c>
      <c r="E15" s="149">
        <v>8298.2199999999993</v>
      </c>
      <c r="F15" s="149">
        <v>7396.88</v>
      </c>
      <c r="G15" s="143"/>
    </row>
    <row r="16" spans="1:9" ht="15.75" thickBot="1" x14ac:dyDescent="0.3">
      <c r="A16" s="142" t="s">
        <v>175</v>
      </c>
      <c r="B16" s="149">
        <v>1675.42</v>
      </c>
      <c r="C16" s="149">
        <v>2195.46</v>
      </c>
      <c r="D16" s="149">
        <v>2405.83</v>
      </c>
      <c r="E16" s="149">
        <v>2125.23</v>
      </c>
      <c r="F16" s="149">
        <v>1754.24</v>
      </c>
      <c r="G16" s="143"/>
    </row>
    <row r="17" spans="1:7" ht="15.75" thickBot="1" x14ac:dyDescent="0.3">
      <c r="A17" s="142" t="s">
        <v>176</v>
      </c>
      <c r="B17" s="149">
        <v>1985.4</v>
      </c>
      <c r="C17" s="149">
        <v>1963.02</v>
      </c>
      <c r="D17" s="149">
        <v>1751.01</v>
      </c>
      <c r="E17" s="149">
        <v>1371.64</v>
      </c>
      <c r="F17" s="149">
        <v>1172.5</v>
      </c>
      <c r="G17" s="143"/>
    </row>
    <row r="18" spans="1:7" ht="15.75" thickBot="1" x14ac:dyDescent="0.3">
      <c r="A18" s="142" t="s">
        <v>177</v>
      </c>
      <c r="B18" s="149">
        <v>3864.07</v>
      </c>
      <c r="C18" s="149">
        <v>3885.36</v>
      </c>
      <c r="D18" s="149">
        <v>3453.84</v>
      </c>
      <c r="E18" s="149">
        <v>2513.81</v>
      </c>
      <c r="F18" s="149">
        <v>2982.68</v>
      </c>
      <c r="G18" s="143"/>
    </row>
    <row r="19" spans="1:7" ht="15.75" thickBot="1" x14ac:dyDescent="0.3">
      <c r="A19" s="146" t="s">
        <v>178</v>
      </c>
      <c r="B19" s="147">
        <v>144775.67000000001</v>
      </c>
      <c r="C19" s="147">
        <v>135079.24</v>
      </c>
      <c r="D19" s="147">
        <v>120708.13</v>
      </c>
      <c r="E19" s="147">
        <v>104703.23</v>
      </c>
      <c r="F19" s="147">
        <v>94871.65</v>
      </c>
      <c r="G19" s="148"/>
    </row>
    <row r="20" spans="1:7" ht="15.75" thickBot="1" x14ac:dyDescent="0.3">
      <c r="A20" s="146" t="s">
        <v>179</v>
      </c>
      <c r="B20" s="147">
        <v>16262.95</v>
      </c>
      <c r="C20" s="147">
        <v>13098.98</v>
      </c>
      <c r="D20" s="147">
        <v>10868.32</v>
      </c>
      <c r="E20" s="147">
        <v>9832.7000000000007</v>
      </c>
      <c r="F20" s="147">
        <v>9741.41</v>
      </c>
      <c r="G20" s="148"/>
    </row>
    <row r="21" spans="1:7" ht="15.75" thickBot="1" x14ac:dyDescent="0.3">
      <c r="A21" s="142" t="s">
        <v>180</v>
      </c>
      <c r="B21" s="149">
        <v>-7121.73</v>
      </c>
      <c r="C21" s="143">
        <v>474.78</v>
      </c>
      <c r="D21" s="143">
        <v>447.99</v>
      </c>
      <c r="E21" s="143">
        <v>0</v>
      </c>
      <c r="F21" s="143">
        <v>267.29000000000002</v>
      </c>
      <c r="G21" s="143"/>
    </row>
    <row r="22" spans="1:7" ht="15.75" thickBot="1" x14ac:dyDescent="0.3">
      <c r="A22" s="146" t="s">
        <v>181</v>
      </c>
      <c r="B22" s="147">
        <v>9141.2199999999993</v>
      </c>
      <c r="C22" s="147">
        <v>13573.76</v>
      </c>
      <c r="D22" s="147">
        <v>11316.31</v>
      </c>
      <c r="E22" s="147">
        <v>9832.7000000000007</v>
      </c>
      <c r="F22" s="147">
        <v>10008.700000000001</v>
      </c>
      <c r="G22" s="148"/>
    </row>
    <row r="23" spans="1:7" ht="15.75" thickBot="1" x14ac:dyDescent="0.3">
      <c r="A23" s="144" t="s">
        <v>182</v>
      </c>
      <c r="B23" s="145"/>
      <c r="C23" s="145"/>
      <c r="D23" s="145"/>
      <c r="E23" s="145"/>
      <c r="F23" s="145"/>
      <c r="G23" s="145"/>
    </row>
    <row r="24" spans="1:7" ht="15.75" thickBot="1" x14ac:dyDescent="0.3">
      <c r="A24" s="142" t="s">
        <v>183</v>
      </c>
      <c r="B24" s="149">
        <v>2854.09</v>
      </c>
      <c r="C24" s="149">
        <v>2849.97</v>
      </c>
      <c r="D24" s="149">
        <v>2205</v>
      </c>
      <c r="E24" s="149">
        <v>2334.7600000000002</v>
      </c>
      <c r="F24" s="149">
        <v>2405.17</v>
      </c>
      <c r="G24" s="143"/>
    </row>
    <row r="25" spans="1:7" ht="15.75" thickBot="1" x14ac:dyDescent="0.3">
      <c r="A25" s="142" t="s">
        <v>184</v>
      </c>
      <c r="B25" s="143">
        <v>0</v>
      </c>
      <c r="C25" s="143">
        <v>0</v>
      </c>
      <c r="D25" s="143">
        <v>0</v>
      </c>
      <c r="E25" s="143">
        <v>0</v>
      </c>
      <c r="F25" s="143">
        <v>0</v>
      </c>
      <c r="G25" s="143"/>
    </row>
    <row r="26" spans="1:7" ht="15.75" thickBot="1" x14ac:dyDescent="0.3">
      <c r="A26" s="142" t="s">
        <v>185</v>
      </c>
      <c r="B26" s="143">
        <v>0</v>
      </c>
      <c r="C26" s="143">
        <v>-146.93</v>
      </c>
      <c r="D26" s="143">
        <v>-193.02</v>
      </c>
      <c r="E26" s="143">
        <v>-351.03</v>
      </c>
      <c r="F26" s="143">
        <v>-275.92</v>
      </c>
      <c r="G26" s="143"/>
    </row>
    <row r="27" spans="1:7" ht="15.75" thickBot="1" x14ac:dyDescent="0.3">
      <c r="A27" s="142" t="s">
        <v>186</v>
      </c>
      <c r="B27" s="143">
        <v>0</v>
      </c>
      <c r="C27" s="143">
        <v>0</v>
      </c>
      <c r="D27" s="143">
        <v>0</v>
      </c>
      <c r="E27" s="143">
        <v>0</v>
      </c>
      <c r="F27" s="143">
        <v>0</v>
      </c>
      <c r="G27" s="143"/>
    </row>
    <row r="28" spans="1:7" ht="15.75" thickBot="1" x14ac:dyDescent="0.3">
      <c r="A28" s="146" t="s">
        <v>187</v>
      </c>
      <c r="B28" s="147">
        <v>2854.09</v>
      </c>
      <c r="C28" s="147">
        <v>2703.04</v>
      </c>
      <c r="D28" s="147">
        <v>2011.98</v>
      </c>
      <c r="E28" s="147">
        <v>1983.73</v>
      </c>
      <c r="F28" s="147">
        <v>2129.25</v>
      </c>
      <c r="G28" s="148"/>
    </row>
    <row r="29" spans="1:7" ht="15.75" thickBot="1" x14ac:dyDescent="0.3">
      <c r="A29" s="146" t="s">
        <v>188</v>
      </c>
      <c r="B29" s="147">
        <v>6287.13</v>
      </c>
      <c r="C29" s="147">
        <v>10870.72</v>
      </c>
      <c r="D29" s="147">
        <v>9304.33</v>
      </c>
      <c r="E29" s="147">
        <v>7848.97</v>
      </c>
      <c r="F29" s="147">
        <v>7879.45</v>
      </c>
      <c r="G29" s="148"/>
    </row>
    <row r="30" spans="1:7" ht="15.75" thickBot="1" x14ac:dyDescent="0.3">
      <c r="A30" s="146" t="s">
        <v>189</v>
      </c>
      <c r="B30" s="147">
        <v>6287.13</v>
      </c>
      <c r="C30" s="147">
        <v>10870.72</v>
      </c>
      <c r="D30" s="147">
        <v>9304.33</v>
      </c>
      <c r="E30" s="147">
        <v>7848.97</v>
      </c>
      <c r="F30" s="147">
        <v>7879.45</v>
      </c>
      <c r="G30" s="148"/>
    </row>
    <row r="31" spans="1:7" ht="15.75" thickBot="1" x14ac:dyDescent="0.3">
      <c r="A31" s="146" t="s">
        <v>190</v>
      </c>
      <c r="B31" s="147">
        <v>6287.13</v>
      </c>
      <c r="C31" s="147">
        <v>10870.72</v>
      </c>
      <c r="D31" s="147">
        <v>9304.33</v>
      </c>
      <c r="E31" s="147">
        <v>7848.97</v>
      </c>
      <c r="F31" s="147">
        <v>7879.45</v>
      </c>
      <c r="G31" s="148"/>
    </row>
    <row r="32" spans="1:7" ht="15.75" thickBot="1" x14ac:dyDescent="0.3">
      <c r="A32" s="144" t="s">
        <v>191</v>
      </c>
      <c r="B32" s="145"/>
      <c r="C32" s="145"/>
      <c r="D32" s="145"/>
      <c r="E32" s="145"/>
      <c r="F32" s="145"/>
      <c r="G32" s="145"/>
    </row>
    <row r="33" spans="1:7" ht="15.75" thickBot="1" x14ac:dyDescent="0.3">
      <c r="A33" s="144" t="s">
        <v>192</v>
      </c>
      <c r="B33" s="145"/>
      <c r="C33" s="145"/>
      <c r="D33" s="145"/>
      <c r="E33" s="145"/>
      <c r="F33" s="145"/>
      <c r="G33" s="145"/>
    </row>
    <row r="34" spans="1:7" ht="15.75" thickBot="1" x14ac:dyDescent="0.3">
      <c r="A34" s="142" t="s">
        <v>193</v>
      </c>
      <c r="B34" s="143">
        <v>45.71</v>
      </c>
      <c r="C34" s="143">
        <v>79.06</v>
      </c>
      <c r="D34" s="143">
        <v>66.95</v>
      </c>
      <c r="E34" s="143">
        <v>55.85</v>
      </c>
      <c r="F34" s="143">
        <v>56.09</v>
      </c>
      <c r="G34" s="143"/>
    </row>
    <row r="35" spans="1:7" ht="15.75" thickBot="1" x14ac:dyDescent="0.3">
      <c r="A35" s="142" t="s">
        <v>194</v>
      </c>
      <c r="B35" s="143">
        <v>45.69</v>
      </c>
      <c r="C35" s="143">
        <v>79</v>
      </c>
      <c r="D35" s="143">
        <v>66.89</v>
      </c>
      <c r="E35" s="143">
        <v>55.81</v>
      </c>
      <c r="F35" s="143">
        <v>56.03</v>
      </c>
      <c r="G35" s="143"/>
    </row>
    <row r="36" spans="1:7" ht="30.75" thickBot="1" x14ac:dyDescent="0.3">
      <c r="A36" s="144" t="s">
        <v>195</v>
      </c>
      <c r="B36" s="145"/>
      <c r="C36" s="145"/>
      <c r="D36" s="145"/>
      <c r="E36" s="145"/>
      <c r="F36" s="145"/>
      <c r="G36" s="145"/>
    </row>
    <row r="37" spans="1:7" ht="15.75" thickBot="1" x14ac:dyDescent="0.3">
      <c r="A37" s="142" t="s">
        <v>196</v>
      </c>
      <c r="B37" s="143">
        <v>0</v>
      </c>
      <c r="C37" s="143">
        <v>0</v>
      </c>
      <c r="D37" s="143">
        <v>0</v>
      </c>
      <c r="E37" s="143">
        <v>0</v>
      </c>
      <c r="F37" s="143">
        <v>0</v>
      </c>
      <c r="G37" s="143"/>
    </row>
    <row r="38" spans="1:7" ht="15.75" thickBot="1" x14ac:dyDescent="0.3">
      <c r="A38" s="142" t="s">
        <v>197</v>
      </c>
      <c r="B38" s="143">
        <v>0</v>
      </c>
      <c r="C38" s="143">
        <v>0</v>
      </c>
      <c r="D38" s="143">
        <v>0</v>
      </c>
      <c r="E38" s="143">
        <v>0</v>
      </c>
      <c r="F38" s="143">
        <v>0</v>
      </c>
      <c r="G38" s="143"/>
    </row>
    <row r="39" spans="1:7" ht="15.75" thickBot="1" x14ac:dyDescent="0.3">
      <c r="A39" s="144" t="s">
        <v>198</v>
      </c>
      <c r="B39" s="145"/>
      <c r="C39" s="145"/>
      <c r="D39" s="145"/>
      <c r="E39" s="145"/>
      <c r="F39" s="145"/>
      <c r="G39" s="145"/>
    </row>
    <row r="40" spans="1:7" ht="15.75" thickBot="1" x14ac:dyDescent="0.3">
      <c r="A40" s="142" t="s">
        <v>199</v>
      </c>
      <c r="B40" s="143">
        <v>0</v>
      </c>
      <c r="C40" s="143">
        <v>0</v>
      </c>
      <c r="D40" s="143">
        <v>0</v>
      </c>
      <c r="E40" s="143">
        <v>0</v>
      </c>
      <c r="F40" s="143">
        <v>0</v>
      </c>
      <c r="G40" s="143"/>
    </row>
    <row r="41" spans="1:7" ht="15.75" thickBot="1" x14ac:dyDescent="0.3">
      <c r="A41" s="142" t="s">
        <v>200</v>
      </c>
      <c r="B41" s="143">
        <v>0</v>
      </c>
      <c r="C41" s="143">
        <v>0</v>
      </c>
      <c r="D41" s="143">
        <v>0</v>
      </c>
      <c r="E41" s="143">
        <v>0</v>
      </c>
      <c r="F41" s="143">
        <v>0</v>
      </c>
      <c r="G41" s="143"/>
    </row>
    <row r="42" spans="1:7" ht="15.75" thickBot="1" x14ac:dyDescent="0.3">
      <c r="A42" s="144" t="s">
        <v>201</v>
      </c>
      <c r="B42" s="145"/>
      <c r="C42" s="145"/>
      <c r="D42" s="145"/>
      <c r="E42" s="145"/>
      <c r="F42" s="145"/>
      <c r="G42" s="145"/>
    </row>
    <row r="43" spans="1:7" ht="15.75" thickBot="1" x14ac:dyDescent="0.3">
      <c r="A43" s="142" t="s">
        <v>202</v>
      </c>
      <c r="B43" s="143">
        <v>0</v>
      </c>
      <c r="C43" s="143">
        <v>0</v>
      </c>
      <c r="D43" s="143">
        <v>843.39</v>
      </c>
      <c r="E43" s="149">
        <v>3091.42</v>
      </c>
      <c r="F43" s="149">
        <v>2528.38</v>
      </c>
      <c r="G43" s="143"/>
    </row>
    <row r="44" spans="1:7" ht="15.75" thickBot="1" x14ac:dyDescent="0.3">
      <c r="A44" s="142" t="s">
        <v>203</v>
      </c>
      <c r="B44" s="143">
        <v>0</v>
      </c>
      <c r="C44" s="143">
        <v>0</v>
      </c>
      <c r="D44" s="143">
        <v>0</v>
      </c>
      <c r="E44" s="143">
        <v>0</v>
      </c>
      <c r="F44" s="143">
        <v>0</v>
      </c>
      <c r="G44" s="143"/>
    </row>
    <row r="45" spans="1:7" x14ac:dyDescent="0.25">
      <c r="A45" s="150" t="s">
        <v>204</v>
      </c>
      <c r="B45" s="151">
        <v>1900</v>
      </c>
      <c r="C45" s="151">
        <v>1700</v>
      </c>
      <c r="D45" s="151">
        <v>1700</v>
      </c>
      <c r="E45" s="151">
        <v>1200</v>
      </c>
      <c r="F45" s="151">
        <v>1100</v>
      </c>
      <c r="G45" s="152"/>
    </row>
    <row r="46" spans="1:7" x14ac:dyDescent="0.25">
      <c r="A46" s="153" t="s">
        <v>205</v>
      </c>
    </row>
  </sheetData>
  <sheetProtection algorithmName="SHA-512" hashValue="NuQvZ0BTznFka8p7NPFdBJd6VfJ5bi2EuTKs5W+tDYXkmio8ter4OtcdHUDTVdXDaxzpyUZTGUXghEG4xB9dHw==" saltValue="pVuKvSAinXioGM/2ug9obw==" spinCount="100000" sheet="1" objects="1" scenarios="1"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9D4C3-8FB7-41A7-B8C2-2F20954E7717}">
  <sheetPr codeName="Sheet25"/>
  <dimension ref="A1:L67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64.7109375" style="141" bestFit="1" customWidth="1"/>
    <col min="2" max="6" width="11.85546875" style="141" bestFit="1" customWidth="1"/>
    <col min="7" max="8" width="9.140625" style="141"/>
    <col min="9" max="9" width="9.85546875" style="141" bestFit="1" customWidth="1"/>
    <col min="10" max="16384" width="9.140625" style="141"/>
  </cols>
  <sheetData>
    <row r="1" spans="1:11" ht="15.75" thickBot="1" x14ac:dyDescent="0.3">
      <c r="A1" s="138" t="s">
        <v>206</v>
      </c>
      <c r="B1" s="139">
        <v>46082</v>
      </c>
      <c r="C1" s="139">
        <v>45717</v>
      </c>
      <c r="D1" s="139">
        <v>45352</v>
      </c>
      <c r="E1" s="139">
        <v>44986</v>
      </c>
      <c r="F1" s="139">
        <v>44621</v>
      </c>
      <c r="G1" s="140"/>
    </row>
    <row r="2" spans="1:11" ht="15.75" thickBot="1" x14ac:dyDescent="0.3">
      <c r="A2" s="142"/>
      <c r="B2" s="143" t="s">
        <v>162</v>
      </c>
      <c r="C2" s="143" t="s">
        <v>162</v>
      </c>
      <c r="D2" s="143" t="s">
        <v>162</v>
      </c>
      <c r="E2" s="143" t="s">
        <v>162</v>
      </c>
      <c r="F2" s="143" t="s">
        <v>162</v>
      </c>
      <c r="G2" s="143"/>
    </row>
    <row r="3" spans="1:11" ht="15.75" thickBot="1" x14ac:dyDescent="0.3">
      <c r="A3" s="144" t="s">
        <v>207</v>
      </c>
      <c r="B3" s="145"/>
      <c r="C3" s="145"/>
      <c r="D3" s="145"/>
      <c r="E3" s="145"/>
      <c r="F3" s="145"/>
      <c r="G3" s="145"/>
    </row>
    <row r="4" spans="1:11" ht="15.75" thickBot="1" x14ac:dyDescent="0.3">
      <c r="A4" s="144" t="s">
        <v>208</v>
      </c>
      <c r="B4" s="145"/>
      <c r="C4" s="145"/>
      <c r="D4" s="145"/>
      <c r="E4" s="145"/>
      <c r="F4" s="145"/>
      <c r="G4" s="145"/>
    </row>
    <row r="5" spans="1:11" ht="15.75" thickBot="1" x14ac:dyDescent="0.3">
      <c r="A5" s="142" t="s">
        <v>209</v>
      </c>
      <c r="B5" s="143">
        <v>275.13</v>
      </c>
      <c r="C5" s="143">
        <v>275.04000000000002</v>
      </c>
      <c r="D5" s="143">
        <v>274.93</v>
      </c>
      <c r="E5" s="143">
        <v>355.71999999999537</v>
      </c>
      <c r="F5" s="143">
        <v>281.01</v>
      </c>
      <c r="G5" s="143"/>
    </row>
    <row r="6" spans="1:11" ht="15.75" thickBot="1" x14ac:dyDescent="0.3">
      <c r="A6" s="146" t="s">
        <v>210</v>
      </c>
      <c r="B6" s="148">
        <v>275.13</v>
      </c>
      <c r="C6" s="148">
        <v>275.04000000000002</v>
      </c>
      <c r="D6" s="148">
        <v>274.93</v>
      </c>
      <c r="E6" s="148">
        <v>355.71999999999537</v>
      </c>
      <c r="F6" s="148">
        <v>281.01</v>
      </c>
      <c r="G6" s="148"/>
      <c r="I6" s="155"/>
      <c r="K6" s="155"/>
    </row>
    <row r="7" spans="1:11" ht="24" customHeight="1" thickBot="1" x14ac:dyDescent="0.3">
      <c r="A7" s="142" t="s">
        <v>211</v>
      </c>
      <c r="B7" s="149">
        <v>74257.77</v>
      </c>
      <c r="C7" s="149">
        <v>71620.800000000003</v>
      </c>
      <c r="D7" s="149">
        <v>64141.11</v>
      </c>
      <c r="E7" s="149">
        <v>71172.23</v>
      </c>
      <c r="F7" s="149">
        <v>66743.66</v>
      </c>
      <c r="G7" s="143"/>
      <c r="I7" s="155"/>
    </row>
    <row r="8" spans="1:11" ht="24" customHeight="1" thickBot="1" x14ac:dyDescent="0.3">
      <c r="A8" s="146" t="s">
        <v>212</v>
      </c>
      <c r="B8" s="147">
        <v>74257.77</v>
      </c>
      <c r="C8" s="147">
        <v>71620.800000000003</v>
      </c>
      <c r="D8" s="147">
        <v>64141.11</v>
      </c>
      <c r="E8" s="147">
        <v>71172.23</v>
      </c>
      <c r="F8" s="147">
        <v>66743.66</v>
      </c>
      <c r="G8" s="148"/>
    </row>
    <row r="9" spans="1:11" ht="15.75" thickBot="1" x14ac:dyDescent="0.3">
      <c r="A9" s="146" t="s">
        <v>213</v>
      </c>
      <c r="B9" s="147">
        <v>74532.899999999994</v>
      </c>
      <c r="C9" s="147">
        <v>71895.839999999997</v>
      </c>
      <c r="D9" s="147">
        <v>64416.04</v>
      </c>
      <c r="E9" s="147">
        <v>71527.95</v>
      </c>
      <c r="F9" s="147">
        <v>67114.05</v>
      </c>
      <c r="G9" s="148"/>
    </row>
    <row r="10" spans="1:11" ht="15.75" thickBot="1" x14ac:dyDescent="0.3">
      <c r="A10" s="144" t="s">
        <v>214</v>
      </c>
      <c r="B10" s="145"/>
      <c r="C10" s="145"/>
      <c r="D10" s="145"/>
      <c r="E10" s="145"/>
      <c r="F10" s="145"/>
      <c r="G10" s="145"/>
    </row>
    <row r="11" spans="1:11" ht="15.75" thickBot="1" x14ac:dyDescent="0.3">
      <c r="A11" s="142" t="s">
        <v>215</v>
      </c>
      <c r="B11" s="149">
        <v>9787.67</v>
      </c>
      <c r="C11" s="149">
        <v>9286</v>
      </c>
      <c r="D11" s="149">
        <v>11931.14</v>
      </c>
      <c r="E11" s="149">
        <v>9390.85</v>
      </c>
      <c r="F11" s="149">
        <v>12968.41</v>
      </c>
      <c r="G11" s="143"/>
    </row>
    <row r="12" spans="1:11" ht="15.75" thickBot="1" x14ac:dyDescent="0.3">
      <c r="A12" s="142" t="s">
        <v>216</v>
      </c>
      <c r="B12" s="143">
        <v>0</v>
      </c>
      <c r="C12" s="143">
        <v>0</v>
      </c>
      <c r="D12" s="143">
        <v>0</v>
      </c>
      <c r="E12" s="143">
        <v>0</v>
      </c>
      <c r="F12" s="143">
        <v>0</v>
      </c>
      <c r="G12" s="143"/>
    </row>
    <row r="13" spans="1:11" ht="15.75" thickBot="1" x14ac:dyDescent="0.3">
      <c r="A13" s="142" t="s">
        <v>217</v>
      </c>
      <c r="B13" s="143">
        <v>662.94</v>
      </c>
      <c r="C13" s="143">
        <v>359.73</v>
      </c>
      <c r="D13" s="143">
        <v>210.73</v>
      </c>
      <c r="E13" s="143">
        <v>165.58</v>
      </c>
      <c r="F13" s="143">
        <v>207.07</v>
      </c>
      <c r="G13" s="143"/>
    </row>
    <row r="14" spans="1:11" ht="15.75" thickBot="1" x14ac:dyDescent="0.3">
      <c r="A14" s="142" t="s">
        <v>218</v>
      </c>
      <c r="B14" s="143">
        <v>769.32</v>
      </c>
      <c r="C14" s="143">
        <v>765.72</v>
      </c>
      <c r="D14" s="143">
        <v>697.73</v>
      </c>
      <c r="E14" s="143">
        <v>636.97</v>
      </c>
      <c r="F14" s="143">
        <v>645.27</v>
      </c>
      <c r="G14" s="143"/>
    </row>
    <row r="15" spans="1:11" ht="15.75" thickBot="1" x14ac:dyDescent="0.3">
      <c r="A15" s="146" t="s">
        <v>124</v>
      </c>
      <c r="B15" s="147">
        <v>11219.93</v>
      </c>
      <c r="C15" s="147">
        <v>10411.450000000001</v>
      </c>
      <c r="D15" s="147">
        <v>12839.6</v>
      </c>
      <c r="E15" s="147">
        <v>10193.4</v>
      </c>
      <c r="F15" s="147">
        <v>13820.75</v>
      </c>
      <c r="G15" s="148"/>
    </row>
    <row r="16" spans="1:11" ht="15.75" thickBot="1" x14ac:dyDescent="0.3">
      <c r="A16" s="144" t="s">
        <v>219</v>
      </c>
      <c r="B16" s="145"/>
      <c r="C16" s="145"/>
      <c r="D16" s="145"/>
      <c r="E16" s="145"/>
      <c r="F16" s="145"/>
      <c r="G16" s="145"/>
    </row>
    <row r="17" spans="1:12" ht="24" customHeight="1" thickBot="1" x14ac:dyDescent="0.3">
      <c r="A17" s="142" t="s">
        <v>220</v>
      </c>
      <c r="B17" s="149">
        <v>1593.46</v>
      </c>
      <c r="C17" s="149">
        <v>12648.88</v>
      </c>
      <c r="D17" s="149">
        <v>10609.33</v>
      </c>
      <c r="E17" s="149">
        <v>8760.24</v>
      </c>
      <c r="F17" s="149">
        <v>7329.88</v>
      </c>
      <c r="G17" s="143"/>
    </row>
    <row r="18" spans="1:12" ht="15.75" thickBot="1" x14ac:dyDescent="0.3">
      <c r="A18" s="142" t="s">
        <v>30</v>
      </c>
      <c r="B18" s="149">
        <v>49140.51</v>
      </c>
      <c r="C18" s="149">
        <v>38795.99</v>
      </c>
      <c r="D18" s="149">
        <v>40846.33</v>
      </c>
      <c r="E18" s="149">
        <v>41780.370000000003</v>
      </c>
      <c r="F18" s="149">
        <v>45385.34</v>
      </c>
      <c r="G18" s="143"/>
      <c r="I18" s="155"/>
    </row>
    <row r="19" spans="1:12" ht="15.75" thickBot="1" x14ac:dyDescent="0.3">
      <c r="A19" s="142" t="s">
        <v>221</v>
      </c>
      <c r="B19" s="149">
        <v>68948.95</v>
      </c>
      <c r="C19" s="149">
        <v>50265.96</v>
      </c>
      <c r="D19" s="149">
        <v>44919.82</v>
      </c>
      <c r="E19" s="149">
        <v>38330.160000000003</v>
      </c>
      <c r="F19" s="149">
        <v>32990.78</v>
      </c>
      <c r="G19" s="143"/>
    </row>
    <row r="20" spans="1:12" ht="15.75" thickBot="1" x14ac:dyDescent="0.3">
      <c r="A20" s="142" t="s">
        <v>222</v>
      </c>
      <c r="B20" s="149">
        <v>2702.49</v>
      </c>
      <c r="C20" s="149">
        <v>2398.23</v>
      </c>
      <c r="D20" s="149">
        <v>1651.57</v>
      </c>
      <c r="E20" s="149">
        <v>1832.37</v>
      </c>
      <c r="F20" s="149">
        <v>1861.48</v>
      </c>
      <c r="G20" s="143"/>
      <c r="I20" s="155"/>
    </row>
    <row r="21" spans="1:12" ht="15.75" thickBot="1" x14ac:dyDescent="0.3">
      <c r="A21" s="146" t="s">
        <v>122</v>
      </c>
      <c r="B21" s="147">
        <v>122385.41</v>
      </c>
      <c r="C21" s="147">
        <v>104109.06</v>
      </c>
      <c r="D21" s="147">
        <v>98027.05</v>
      </c>
      <c r="E21" s="147">
        <v>90703.14</v>
      </c>
      <c r="F21" s="147">
        <v>87567.48</v>
      </c>
      <c r="G21" s="148"/>
    </row>
    <row r="22" spans="1:12" ht="15.75" thickBot="1" x14ac:dyDescent="0.3">
      <c r="A22" s="146" t="s">
        <v>223</v>
      </c>
      <c r="B22" s="147">
        <v>208138.23999999999</v>
      </c>
      <c r="C22" s="147">
        <v>186416.35</v>
      </c>
      <c r="D22" s="147">
        <v>175282.69</v>
      </c>
      <c r="E22" s="147">
        <v>172424.49</v>
      </c>
      <c r="F22" s="147">
        <v>168502.28</v>
      </c>
      <c r="G22" s="148"/>
    </row>
    <row r="23" spans="1:12" ht="15.75" thickBot="1" x14ac:dyDescent="0.3">
      <c r="A23" s="144" t="s">
        <v>224</v>
      </c>
      <c r="B23" s="145"/>
      <c r="C23" s="145"/>
      <c r="D23" s="145"/>
      <c r="E23" s="145"/>
      <c r="F23" s="145"/>
      <c r="G23" s="145"/>
    </row>
    <row r="24" spans="1:12" ht="15.75" thickBot="1" x14ac:dyDescent="0.3">
      <c r="A24" s="144" t="s">
        <v>225</v>
      </c>
      <c r="B24" s="145"/>
      <c r="C24" s="145"/>
      <c r="D24" s="145"/>
      <c r="E24" s="145"/>
      <c r="F24" s="145"/>
      <c r="G24" s="145"/>
    </row>
    <row r="25" spans="1:12" ht="15.75" thickBot="1" x14ac:dyDescent="0.3">
      <c r="A25" s="142" t="s">
        <v>226</v>
      </c>
      <c r="B25" s="149">
        <v>12154.2</v>
      </c>
      <c r="C25" s="149">
        <v>9722.4500000000007</v>
      </c>
      <c r="D25" s="149">
        <v>9685.4375</v>
      </c>
      <c r="E25" s="149">
        <v>8997.3875000000007</v>
      </c>
      <c r="F25" s="149">
        <v>8328.9599999999991</v>
      </c>
      <c r="G25" s="143"/>
      <c r="I25" s="155"/>
      <c r="K25" s="155"/>
      <c r="L25" s="155"/>
    </row>
    <row r="26" spans="1:12" ht="15.75" thickBot="1" x14ac:dyDescent="0.3">
      <c r="A26" s="142" t="s">
        <v>227</v>
      </c>
      <c r="B26" s="143">
        <v>118.46</v>
      </c>
      <c r="C26" s="143">
        <v>235.25000000000006</v>
      </c>
      <c r="D26" s="143">
        <v>206.27749999999935</v>
      </c>
      <c r="E26" s="143">
        <v>198.19749999999985</v>
      </c>
      <c r="F26" s="143">
        <v>194.58</v>
      </c>
      <c r="G26" s="143"/>
      <c r="I26" s="155"/>
      <c r="K26" s="155"/>
      <c r="L26" s="155"/>
    </row>
    <row r="27" spans="1:12" ht="15.75" thickBot="1" x14ac:dyDescent="0.3">
      <c r="A27" s="142" t="s">
        <v>228</v>
      </c>
      <c r="B27" s="149">
        <v>1439.81</v>
      </c>
      <c r="C27" s="149">
        <v>1122.77</v>
      </c>
      <c r="D27" s="149">
        <v>1403.6974999999993</v>
      </c>
      <c r="E27" s="149">
        <v>1942.4775</v>
      </c>
      <c r="F27" s="143">
        <v>571.5</v>
      </c>
      <c r="G27" s="143"/>
      <c r="K27" s="155"/>
      <c r="L27" s="155"/>
    </row>
    <row r="28" spans="1:12" ht="15.75" thickBot="1" x14ac:dyDescent="0.3">
      <c r="A28" s="142" t="s">
        <v>229</v>
      </c>
      <c r="B28" s="143">
        <v>0</v>
      </c>
      <c r="C28" s="149">
        <v>1312.6000000000001</v>
      </c>
      <c r="D28" s="149">
        <v>1167.9174999999993</v>
      </c>
      <c r="E28" s="143">
        <v>572.6674999999999</v>
      </c>
      <c r="F28" s="143">
        <v>589.64</v>
      </c>
      <c r="G28" s="143"/>
      <c r="K28" s="155"/>
      <c r="L28" s="155"/>
    </row>
    <row r="29" spans="1:12" ht="15.75" thickBot="1" x14ac:dyDescent="0.3">
      <c r="A29" s="146" t="s">
        <v>230</v>
      </c>
      <c r="B29" s="147">
        <v>13712.47</v>
      </c>
      <c r="C29" s="147">
        <v>12393.07</v>
      </c>
      <c r="D29" s="147">
        <v>12463.33</v>
      </c>
      <c r="E29" s="147">
        <v>11710.73</v>
      </c>
      <c r="F29" s="147">
        <v>9695.94</v>
      </c>
      <c r="G29" s="148"/>
      <c r="I29" s="155"/>
    </row>
    <row r="30" spans="1:12" ht="15.75" thickBot="1" x14ac:dyDescent="0.3">
      <c r="A30" s="142" t="s">
        <v>231</v>
      </c>
      <c r="B30" s="149">
        <v>26993.91</v>
      </c>
      <c r="C30" s="149">
        <v>32853.879999999997</v>
      </c>
      <c r="D30" s="149">
        <v>30728.77</v>
      </c>
      <c r="E30" s="149">
        <v>27036.97</v>
      </c>
      <c r="F30" s="149">
        <v>27049.5</v>
      </c>
      <c r="G30" s="143"/>
    </row>
    <row r="31" spans="1:12" ht="24" customHeight="1" thickBot="1" x14ac:dyDescent="0.3">
      <c r="A31" s="142" t="s">
        <v>232</v>
      </c>
      <c r="B31" s="149">
        <v>3240.44</v>
      </c>
      <c r="C31" s="149">
        <v>1544.69</v>
      </c>
      <c r="D31" s="149">
        <v>1587.12</v>
      </c>
      <c r="E31" s="149">
        <v>1539.14</v>
      </c>
      <c r="F31" s="149">
        <v>1140.3</v>
      </c>
      <c r="G31" s="143"/>
    </row>
    <row r="32" spans="1:12" ht="15.75" thickBot="1" x14ac:dyDescent="0.3">
      <c r="A32" s="142" t="s">
        <v>233</v>
      </c>
      <c r="B32" s="143">
        <v>808.69</v>
      </c>
      <c r="C32" s="143">
        <v>726.67</v>
      </c>
      <c r="D32" s="143">
        <v>579.05999999999995</v>
      </c>
      <c r="E32" s="149">
        <v>3306.81</v>
      </c>
      <c r="F32" s="149">
        <v>4084.58</v>
      </c>
      <c r="G32" s="143"/>
    </row>
    <row r="33" spans="1:9" ht="15.75" thickBot="1" x14ac:dyDescent="0.3">
      <c r="A33" s="142" t="s">
        <v>234</v>
      </c>
      <c r="B33" s="149">
        <v>3471.47</v>
      </c>
      <c r="C33" s="149">
        <v>6325.48</v>
      </c>
      <c r="D33" s="149">
        <v>5255.16</v>
      </c>
      <c r="E33" s="149">
        <v>4290.25</v>
      </c>
      <c r="F33" s="149">
        <v>4514.1000000000004</v>
      </c>
      <c r="G33" s="143"/>
    </row>
    <row r="34" spans="1:9" ht="15.75" thickBot="1" x14ac:dyDescent="0.3">
      <c r="A34" s="146" t="s">
        <v>121</v>
      </c>
      <c r="B34" s="147">
        <v>48226.98</v>
      </c>
      <c r="C34" s="147">
        <v>53843.79</v>
      </c>
      <c r="D34" s="147">
        <v>50613.440000000002</v>
      </c>
      <c r="E34" s="147">
        <v>47883.9</v>
      </c>
      <c r="F34" s="147">
        <v>46484.42</v>
      </c>
      <c r="G34" s="148"/>
    </row>
    <row r="35" spans="1:9" ht="15.75" thickBot="1" x14ac:dyDescent="0.3">
      <c r="A35" s="144" t="s">
        <v>235</v>
      </c>
      <c r="B35" s="145"/>
      <c r="C35" s="145"/>
      <c r="D35" s="145"/>
      <c r="E35" s="145"/>
      <c r="F35" s="145"/>
      <c r="G35" s="145"/>
    </row>
    <row r="36" spans="1:9" ht="15.75" thickBot="1" x14ac:dyDescent="0.3">
      <c r="A36" s="142" t="s">
        <v>236</v>
      </c>
      <c r="B36" s="149">
        <v>29612.560000000001</v>
      </c>
      <c r="C36" s="149">
        <v>24788.29</v>
      </c>
      <c r="D36" s="149">
        <v>16813.34</v>
      </c>
      <c r="E36" s="149">
        <v>20224.29</v>
      </c>
      <c r="F36" s="149">
        <v>18478.22</v>
      </c>
      <c r="G36" s="143"/>
    </row>
    <row r="37" spans="1:9" ht="15.75" thickBot="1" x14ac:dyDescent="0.3">
      <c r="A37" s="142" t="s">
        <v>104</v>
      </c>
      <c r="B37" s="149">
        <v>3690.92</v>
      </c>
      <c r="C37" s="149">
        <v>3398.77</v>
      </c>
      <c r="D37" s="149">
        <v>3520.97</v>
      </c>
      <c r="E37" s="149">
        <v>3428.56</v>
      </c>
      <c r="F37" s="149">
        <v>3132.51</v>
      </c>
      <c r="G37" s="143"/>
      <c r="I37" s="155"/>
    </row>
    <row r="38" spans="1:9" ht="15.75" thickBot="1" x14ac:dyDescent="0.3">
      <c r="A38" s="142" t="s">
        <v>27</v>
      </c>
      <c r="B38" s="149">
        <v>45330.3</v>
      </c>
      <c r="C38" s="149">
        <v>38330.18</v>
      </c>
      <c r="D38" s="149">
        <v>36961.550000000003</v>
      </c>
      <c r="E38" s="149">
        <v>33152.58</v>
      </c>
      <c r="F38" s="149">
        <v>36347.35</v>
      </c>
      <c r="G38" s="143"/>
      <c r="I38" s="155"/>
    </row>
    <row r="39" spans="1:9" ht="15.75" thickBot="1" x14ac:dyDescent="0.3">
      <c r="A39" s="142" t="s">
        <v>237</v>
      </c>
      <c r="B39" s="149">
        <v>7544.32</v>
      </c>
      <c r="C39" s="149">
        <v>4346.6099999999997</v>
      </c>
      <c r="D39" s="149">
        <v>4769.1899999999996</v>
      </c>
      <c r="E39" s="149">
        <v>4569.6400000000003</v>
      </c>
      <c r="F39" s="149">
        <v>6498.51</v>
      </c>
      <c r="G39" s="143"/>
    </row>
    <row r="40" spans="1:9" ht="15.75" thickBot="1" x14ac:dyDescent="0.3">
      <c r="A40" s="142" t="s">
        <v>238</v>
      </c>
      <c r="B40" s="143">
        <v>352.71</v>
      </c>
      <c r="C40" s="143">
        <v>635.02</v>
      </c>
      <c r="D40" s="143">
        <v>63.04</v>
      </c>
      <c r="E40" s="143">
        <v>168.29</v>
      </c>
      <c r="F40" s="143">
        <v>249.6</v>
      </c>
      <c r="G40" s="143"/>
    </row>
    <row r="41" spans="1:9" ht="15.75" thickBot="1" x14ac:dyDescent="0.3">
      <c r="A41" s="142" t="s">
        <v>239</v>
      </c>
      <c r="B41" s="149">
        <v>73380.45</v>
      </c>
      <c r="C41" s="149">
        <v>61073.69</v>
      </c>
      <c r="D41" s="149">
        <v>62541.16</v>
      </c>
      <c r="E41" s="149">
        <v>62997.23</v>
      </c>
      <c r="F41" s="149">
        <v>57311.67</v>
      </c>
      <c r="G41" s="143"/>
    </row>
    <row r="42" spans="1:9" ht="15.75" thickBot="1" x14ac:dyDescent="0.3">
      <c r="A42" s="146" t="s">
        <v>118</v>
      </c>
      <c r="B42" s="147">
        <v>159911.26</v>
      </c>
      <c r="C42" s="147">
        <v>132572.56</v>
      </c>
      <c r="D42" s="147">
        <v>124669.25</v>
      </c>
      <c r="E42" s="147">
        <v>124540.59</v>
      </c>
      <c r="F42" s="147">
        <v>122017.86</v>
      </c>
      <c r="G42" s="148"/>
    </row>
    <row r="43" spans="1:9" ht="15.75" thickBot="1" x14ac:dyDescent="0.3">
      <c r="A43" s="146" t="s">
        <v>36</v>
      </c>
      <c r="B43" s="147">
        <v>208138.23999999999</v>
      </c>
      <c r="C43" s="147">
        <v>186416.35</v>
      </c>
      <c r="D43" s="147">
        <v>175282.69</v>
      </c>
      <c r="E43" s="147">
        <v>172424.49</v>
      </c>
      <c r="F43" s="147">
        <v>168502.28</v>
      </c>
      <c r="G43" s="148"/>
    </row>
    <row r="44" spans="1:9" ht="15.75" thickBot="1" x14ac:dyDescent="0.3">
      <c r="A44" s="144" t="s">
        <v>191</v>
      </c>
      <c r="B44" s="145"/>
      <c r="C44" s="145"/>
      <c r="D44" s="145"/>
      <c r="E44" s="145"/>
      <c r="F44" s="145"/>
      <c r="G44" s="145"/>
    </row>
    <row r="45" spans="1:9" ht="15.75" thickBot="1" x14ac:dyDescent="0.3">
      <c r="A45" s="144" t="s">
        <v>240</v>
      </c>
      <c r="B45" s="145"/>
      <c r="C45" s="145"/>
      <c r="D45" s="145"/>
      <c r="E45" s="145"/>
      <c r="F45" s="145"/>
      <c r="G45" s="145"/>
    </row>
    <row r="46" spans="1:9" ht="15.75" thickBot="1" x14ac:dyDescent="0.3">
      <c r="A46" s="142" t="s">
        <v>241</v>
      </c>
      <c r="B46" s="143">
        <v>0</v>
      </c>
      <c r="C46" s="149">
        <v>146709.12</v>
      </c>
      <c r="D46" s="149">
        <v>148156.43</v>
      </c>
      <c r="E46" s="149">
        <v>95485.53</v>
      </c>
      <c r="F46" s="149">
        <v>67013.789999999994</v>
      </c>
      <c r="G46" s="143"/>
    </row>
    <row r="47" spans="1:9" ht="15.75" thickBot="1" x14ac:dyDescent="0.3">
      <c r="A47" s="144" t="s">
        <v>242</v>
      </c>
      <c r="B47" s="145"/>
      <c r="C47" s="145"/>
      <c r="D47" s="145"/>
      <c r="E47" s="145"/>
      <c r="F47" s="145"/>
      <c r="G47" s="145"/>
    </row>
    <row r="48" spans="1:9" ht="15.75" thickBot="1" x14ac:dyDescent="0.3">
      <c r="A48" s="142" t="s">
        <v>243</v>
      </c>
      <c r="B48" s="143">
        <v>0</v>
      </c>
      <c r="C48" s="143">
        <v>0</v>
      </c>
      <c r="D48" s="143">
        <v>0</v>
      </c>
      <c r="E48" s="143">
        <v>0</v>
      </c>
      <c r="F48" s="143">
        <v>0</v>
      </c>
      <c r="G48" s="143"/>
    </row>
    <row r="49" spans="1:7" ht="15.75" thickBot="1" x14ac:dyDescent="0.3">
      <c r="A49" s="142" t="s">
        <v>244</v>
      </c>
      <c r="B49" s="143">
        <v>0</v>
      </c>
      <c r="C49" s="143">
        <v>0</v>
      </c>
      <c r="D49" s="143">
        <v>0</v>
      </c>
      <c r="E49" s="143">
        <v>0</v>
      </c>
      <c r="F49" s="143">
        <v>0</v>
      </c>
      <c r="G49" s="143"/>
    </row>
    <row r="50" spans="1:7" ht="15.75" thickBot="1" x14ac:dyDescent="0.3">
      <c r="A50" s="142" t="s">
        <v>245</v>
      </c>
      <c r="B50" s="143">
        <v>0</v>
      </c>
      <c r="C50" s="143">
        <v>0</v>
      </c>
      <c r="D50" s="143">
        <v>0</v>
      </c>
      <c r="E50" s="143">
        <v>0</v>
      </c>
      <c r="F50" s="143">
        <v>0</v>
      </c>
      <c r="G50" s="143"/>
    </row>
    <row r="51" spans="1:7" ht="24" customHeight="1" thickBot="1" x14ac:dyDescent="0.3">
      <c r="A51" s="142" t="s">
        <v>246</v>
      </c>
      <c r="B51" s="143">
        <v>0</v>
      </c>
      <c r="C51" s="143">
        <v>0</v>
      </c>
      <c r="D51" s="143">
        <v>0</v>
      </c>
      <c r="E51" s="143">
        <v>0</v>
      </c>
      <c r="F51" s="143">
        <v>0</v>
      </c>
      <c r="G51" s="143"/>
    </row>
    <row r="52" spans="1:7" ht="36" customHeight="1" thickBot="1" x14ac:dyDescent="0.3">
      <c r="A52" s="144" t="s">
        <v>247</v>
      </c>
      <c r="B52" s="145"/>
      <c r="C52" s="145"/>
      <c r="D52" s="145"/>
      <c r="E52" s="145"/>
      <c r="F52" s="145"/>
      <c r="G52" s="145"/>
    </row>
    <row r="53" spans="1:7" ht="15.75" thickBot="1" x14ac:dyDescent="0.3">
      <c r="A53" s="142" t="s">
        <v>248</v>
      </c>
      <c r="B53" s="143">
        <v>0</v>
      </c>
      <c r="C53" s="149">
        <v>23162.55</v>
      </c>
      <c r="D53" s="149">
        <v>18448.48</v>
      </c>
      <c r="E53" s="149">
        <v>15996.53</v>
      </c>
      <c r="F53" s="149">
        <v>10383.99</v>
      </c>
      <c r="G53" s="143"/>
    </row>
    <row r="54" spans="1:7" ht="15.75" thickBot="1" x14ac:dyDescent="0.3">
      <c r="A54" s="144" t="s">
        <v>249</v>
      </c>
      <c r="B54" s="145"/>
      <c r="C54" s="145"/>
      <c r="D54" s="145"/>
      <c r="E54" s="145"/>
      <c r="F54" s="145"/>
      <c r="G54" s="145"/>
    </row>
    <row r="55" spans="1:7" ht="15.75" thickBot="1" x14ac:dyDescent="0.3">
      <c r="A55" s="142" t="s">
        <v>250</v>
      </c>
      <c r="B55" s="143" t="s">
        <v>251</v>
      </c>
      <c r="C55" s="143" t="s">
        <v>251</v>
      </c>
      <c r="D55" s="143" t="s">
        <v>251</v>
      </c>
      <c r="E55" s="143" t="s">
        <v>251</v>
      </c>
      <c r="F55" s="143" t="s">
        <v>251</v>
      </c>
      <c r="G55" s="143"/>
    </row>
    <row r="56" spans="1:7" ht="24" customHeight="1" thickBot="1" x14ac:dyDescent="0.3">
      <c r="A56" s="144" t="s">
        <v>252</v>
      </c>
      <c r="B56" s="145"/>
      <c r="C56" s="145"/>
      <c r="D56" s="145"/>
      <c r="E56" s="145"/>
      <c r="F56" s="145"/>
      <c r="G56" s="145"/>
    </row>
    <row r="57" spans="1:7" ht="15.75" thickBot="1" x14ac:dyDescent="0.3">
      <c r="A57" s="142" t="s">
        <v>253</v>
      </c>
      <c r="B57" s="143" t="s">
        <v>251</v>
      </c>
      <c r="C57" s="143" t="s">
        <v>251</v>
      </c>
      <c r="D57" s="143" t="s">
        <v>251</v>
      </c>
      <c r="E57" s="143" t="s">
        <v>251</v>
      </c>
      <c r="F57" s="143" t="s">
        <v>251</v>
      </c>
      <c r="G57" s="143"/>
    </row>
    <row r="58" spans="1:7" ht="15.75" thickBot="1" x14ac:dyDescent="0.3">
      <c r="A58" s="142" t="s">
        <v>254</v>
      </c>
      <c r="B58" s="143" t="s">
        <v>251</v>
      </c>
      <c r="C58" s="149">
        <v>29584.47</v>
      </c>
      <c r="D58" s="149">
        <v>16131.44</v>
      </c>
      <c r="E58" s="149">
        <v>16398.59</v>
      </c>
      <c r="F58" s="149">
        <v>11806.6</v>
      </c>
      <c r="G58" s="143"/>
    </row>
    <row r="59" spans="1:7" ht="24" customHeight="1" thickBot="1" x14ac:dyDescent="0.3">
      <c r="A59" s="144" t="s">
        <v>255</v>
      </c>
      <c r="B59" s="145"/>
      <c r="C59" s="145"/>
      <c r="D59" s="145"/>
      <c r="E59" s="145"/>
      <c r="F59" s="145"/>
      <c r="G59" s="145"/>
    </row>
    <row r="60" spans="1:7" ht="15.75" thickBot="1" x14ac:dyDescent="0.3">
      <c r="A60" s="142" t="s">
        <v>256</v>
      </c>
      <c r="B60" s="143" t="s">
        <v>251</v>
      </c>
      <c r="C60" s="143">
        <v>244.94</v>
      </c>
      <c r="D60" s="143">
        <v>244.94</v>
      </c>
      <c r="E60" s="143">
        <v>244.94</v>
      </c>
      <c r="F60" s="143">
        <v>244.94</v>
      </c>
      <c r="G60" s="143"/>
    </row>
    <row r="61" spans="1:7" ht="15.75" thickBot="1" x14ac:dyDescent="0.3">
      <c r="A61" s="144" t="s">
        <v>257</v>
      </c>
      <c r="B61" s="145"/>
      <c r="C61" s="145"/>
      <c r="D61" s="145"/>
      <c r="E61" s="145"/>
      <c r="F61" s="145"/>
      <c r="G61" s="145"/>
    </row>
    <row r="62" spans="1:7" ht="15.75" thickBot="1" x14ac:dyDescent="0.3">
      <c r="A62" s="142" t="s">
        <v>258</v>
      </c>
      <c r="B62" s="143" t="s">
        <v>251</v>
      </c>
      <c r="C62" s="149">
        <v>152337.70000000001</v>
      </c>
      <c r="D62" s="149">
        <v>169041.56</v>
      </c>
      <c r="E62" s="149">
        <v>136523.29999999999</v>
      </c>
      <c r="F62" s="149">
        <v>176195.93</v>
      </c>
      <c r="G62" s="143"/>
    </row>
    <row r="63" spans="1:7" ht="15.75" thickBot="1" x14ac:dyDescent="0.3">
      <c r="A63" s="142" t="s">
        <v>259</v>
      </c>
      <c r="B63" s="143" t="s">
        <v>251</v>
      </c>
      <c r="C63" s="149">
        <v>15128.1</v>
      </c>
      <c r="D63" s="149">
        <v>14311.06</v>
      </c>
      <c r="E63" s="149">
        <v>10584.92</v>
      </c>
      <c r="F63" s="149">
        <v>10631.79</v>
      </c>
      <c r="G63" s="143"/>
    </row>
    <row r="64" spans="1:7" ht="15.75" thickBot="1" x14ac:dyDescent="0.3">
      <c r="A64" s="144" t="s">
        <v>260</v>
      </c>
      <c r="B64" s="145"/>
      <c r="C64" s="145"/>
      <c r="D64" s="145"/>
      <c r="E64" s="145"/>
      <c r="F64" s="145"/>
      <c r="G64" s="145"/>
    </row>
    <row r="65" spans="1:7" ht="15.75" thickBot="1" x14ac:dyDescent="0.3">
      <c r="A65" s="142" t="s">
        <v>261</v>
      </c>
      <c r="B65" s="143" t="s">
        <v>251</v>
      </c>
      <c r="C65" s="149">
        <v>18700.37</v>
      </c>
      <c r="D65" s="149">
        <v>13891.15</v>
      </c>
      <c r="E65" s="149">
        <v>13148.22</v>
      </c>
      <c r="F65" s="149">
        <v>10098.379999999999</v>
      </c>
      <c r="G65" s="143"/>
    </row>
    <row r="66" spans="1:7" x14ac:dyDescent="0.25">
      <c r="A66" s="150" t="s">
        <v>262</v>
      </c>
      <c r="B66" s="152" t="s">
        <v>251</v>
      </c>
      <c r="C66" s="152">
        <v>928.85</v>
      </c>
      <c r="D66" s="151">
        <v>1422.6</v>
      </c>
      <c r="E66" s="151">
        <v>4851.72</v>
      </c>
      <c r="F66" s="151">
        <v>2418.6999999999998</v>
      </c>
      <c r="G66" s="152"/>
    </row>
    <row r="67" spans="1:7" x14ac:dyDescent="0.25">
      <c r="A67" s="153" t="s">
        <v>205</v>
      </c>
    </row>
  </sheetData>
  <sheetProtection algorithmName="SHA-512" hashValue="Mw0RXoSl4Cz5nOdlCv90poc10SSzrrgfENTwSF9EU3AzO9c//u+tpXG0hnwUMTosAUIr71fKXJfi1sDKkNTPzA==" saltValue="/lEJobQcllCw/JMHRSjtVw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Main</vt:lpstr>
      <vt:lpstr>1. Assumptions--&gt;</vt:lpstr>
      <vt:lpstr>P&amp;L assumptions</vt:lpstr>
      <vt:lpstr>BS assumptions</vt:lpstr>
      <vt:lpstr>DCF_WACC assumptions</vt:lpstr>
      <vt:lpstr>2.Output--&gt;</vt:lpstr>
      <vt:lpstr>P&amp;L</vt:lpstr>
      <vt:lpstr>Balance Sheet</vt:lpstr>
      <vt:lpstr>Unlevered Cash Flow</vt:lpstr>
      <vt:lpstr>Cash Flow Statement</vt:lpstr>
      <vt:lpstr>DCF valuation</vt:lpstr>
      <vt:lpstr>Ratios</vt:lpstr>
      <vt:lpstr>3.Charts --&gt;</vt:lpstr>
      <vt:lpstr>Profitability</vt:lpstr>
      <vt:lpstr>EBITDA Bridge</vt:lpstr>
      <vt:lpstr>Cash Flows</vt:lpstr>
      <vt:lpstr>Working Capital</vt:lpstr>
      <vt:lpstr>DCF results</vt:lpstr>
      <vt:lpstr>4.Sources --&gt;</vt:lpstr>
      <vt:lpstr>P&amp;L source</vt:lpstr>
      <vt:lpstr>Fixed assets roll forward</vt:lpstr>
      <vt:lpstr>Financial Liabilities</vt:lpstr>
      <vt:lpstr>Equity &amp; Reserves schedule</vt:lpstr>
      <vt:lpstr>5.Input --&gt;</vt:lpstr>
      <vt:lpstr>P&amp;L_L&amp;T</vt:lpstr>
      <vt:lpstr>BS_L&amp;T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NewPC</dc:creator>
  <cp:lastModifiedBy>Joy Mukherjee</cp:lastModifiedBy>
  <dcterms:created xsi:type="dcterms:W3CDTF">2016-02-10T00:20:36Z</dcterms:created>
  <dcterms:modified xsi:type="dcterms:W3CDTF">2026-05-27T19:20:46Z</dcterms:modified>
</cp:coreProperties>
</file>