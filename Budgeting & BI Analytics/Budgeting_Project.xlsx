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de\Documents\Learnings\Projects\Budgeting\"/>
    </mc:Choice>
  </mc:AlternateContent>
  <xr:revisionPtr revIDLastSave="0" documentId="13_ncr:1_{C5A15FA0-BBEE-4984-90D8-60FD7328ECB6}" xr6:coauthVersionLast="47" xr6:coauthVersionMax="47" xr10:uidLastSave="{00000000-0000-0000-0000-000000000000}"/>
  <bookViews>
    <workbookView xWindow="-120" yWindow="-120" windowWidth="20730" windowHeight="11040" tabRatio="808" xr2:uid="{0E1C4794-64C8-4CFA-AC56-F2A3837CBA33}"/>
  </bookViews>
  <sheets>
    <sheet name="Executive Summary" sheetId="11" r:id="rId1"/>
    <sheet name="Variance Analysis" sheetId="5" r:id="rId2"/>
    <sheet name="Actual vs Budget" sheetId="8" r:id="rId3"/>
    <sheet name="Actuals" sheetId="6" r:id="rId4"/>
    <sheet name="Forecasted Budget" sheetId="7" r:id="rId5"/>
    <sheet name="Master Budget" sheetId="1" r:id="rId6"/>
    <sheet name="Income Statement" sheetId="2" r:id="rId7"/>
    <sheet name="Data Source" sheetId="9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5" l="1"/>
  <c r="J8" i="5"/>
  <c r="J7" i="5"/>
  <c r="J6" i="5"/>
  <c r="J5" i="5"/>
  <c r="G10" i="5"/>
  <c r="G8" i="5"/>
  <c r="G7" i="5"/>
  <c r="G6" i="5"/>
  <c r="G5" i="5"/>
  <c r="D10" i="5"/>
  <c r="D8" i="5"/>
  <c r="D7" i="5"/>
  <c r="D6" i="5"/>
  <c r="D5" i="5"/>
  <c r="G11" i="5"/>
  <c r="G9" i="5"/>
  <c r="G3" i="5"/>
  <c r="G2" i="5"/>
  <c r="I11" i="5"/>
  <c r="I10" i="5"/>
  <c r="I9" i="5"/>
  <c r="I8" i="5"/>
  <c r="I7" i="5"/>
  <c r="I6" i="5"/>
  <c r="I5" i="5"/>
  <c r="I3" i="5"/>
  <c r="I2" i="5"/>
  <c r="H9" i="5"/>
  <c r="H11" i="5"/>
  <c r="H8" i="5"/>
  <c r="F11" i="5"/>
  <c r="F10" i="5"/>
  <c r="F9" i="5"/>
  <c r="F8" i="5"/>
  <c r="F7" i="5"/>
  <c r="F6" i="5"/>
  <c r="F5" i="5"/>
  <c r="F3" i="5"/>
  <c r="F2" i="5"/>
  <c r="E3" i="5"/>
  <c r="H3" i="5"/>
  <c r="H2" i="5"/>
  <c r="B5" i="5"/>
  <c r="B10" i="5"/>
  <c r="B8" i="5"/>
  <c r="B7" i="5"/>
  <c r="B6" i="5"/>
  <c r="M15" i="8"/>
  <c r="M13" i="8"/>
  <c r="M12" i="8"/>
  <c r="M11" i="8"/>
  <c r="M10" i="8"/>
  <c r="M8" i="8"/>
  <c r="M7" i="8"/>
  <c r="E15" i="8"/>
  <c r="E13" i="8"/>
  <c r="E12" i="8"/>
  <c r="E11" i="8"/>
  <c r="E10" i="8"/>
  <c r="E8" i="8"/>
  <c r="E7" i="8"/>
  <c r="K15" i="8"/>
  <c r="K13" i="8"/>
  <c r="K12" i="8"/>
  <c r="K11" i="8"/>
  <c r="K10" i="8"/>
  <c r="K8" i="8"/>
  <c r="K7" i="8"/>
  <c r="O7" i="8" s="1"/>
  <c r="P7" i="8" s="1"/>
  <c r="C15" i="8"/>
  <c r="G15" i="8" s="1"/>
  <c r="H15" i="8" s="1"/>
  <c r="C13" i="8"/>
  <c r="G13" i="8" s="1"/>
  <c r="H13" i="8" s="1"/>
  <c r="C12" i="8"/>
  <c r="G12" i="8" s="1"/>
  <c r="H12" i="8" s="1"/>
  <c r="C11" i="8"/>
  <c r="G11" i="8" s="1"/>
  <c r="H11" i="8" s="1"/>
  <c r="C10" i="8"/>
  <c r="G10" i="8" s="1"/>
  <c r="H10" i="8" s="1"/>
  <c r="C8" i="8"/>
  <c r="G8" i="8" s="1"/>
  <c r="H8" i="8" s="1"/>
  <c r="C7" i="8"/>
  <c r="G7" i="8" s="1"/>
  <c r="H7" i="8" s="1"/>
  <c r="F15" i="8"/>
  <c r="F13" i="8"/>
  <c r="F12" i="8"/>
  <c r="F11" i="8"/>
  <c r="F10" i="8"/>
  <c r="F8" i="8"/>
  <c r="D15" i="8"/>
  <c r="D13" i="8"/>
  <c r="D12" i="8"/>
  <c r="D11" i="8"/>
  <c r="D10" i="8"/>
  <c r="D8" i="8"/>
  <c r="M9" i="8"/>
  <c r="E9" i="8"/>
  <c r="C5" i="5"/>
  <c r="C6" i="5"/>
  <c r="C7" i="5"/>
  <c r="C10" i="5"/>
  <c r="B3" i="5"/>
  <c r="E2" i="5"/>
  <c r="B2" i="5"/>
  <c r="B16" i="2"/>
  <c r="C16" i="2" s="1"/>
  <c r="D16" i="2" s="1"/>
  <c r="E8" i="5"/>
  <c r="E9" i="5" s="1"/>
  <c r="B9" i="5" l="1"/>
  <c r="B11" i="5" s="1"/>
  <c r="C2" i="5"/>
  <c r="J2" i="5"/>
  <c r="D2" i="5"/>
  <c r="C3" i="5"/>
  <c r="J3" i="5"/>
  <c r="D3" i="5"/>
  <c r="C8" i="5"/>
  <c r="M14" i="8"/>
  <c r="N9" i="8"/>
  <c r="O8" i="8"/>
  <c r="P8" i="8" s="1"/>
  <c r="L8" i="8"/>
  <c r="O10" i="8"/>
  <c r="P10" i="8" s="1"/>
  <c r="L10" i="8"/>
  <c r="O11" i="8"/>
  <c r="P11" i="8" s="1"/>
  <c r="L11" i="8"/>
  <c r="O12" i="8"/>
  <c r="P12" i="8" s="1"/>
  <c r="L12" i="8"/>
  <c r="O13" i="8"/>
  <c r="P13" i="8" s="1"/>
  <c r="L13" i="8"/>
  <c r="O15" i="8"/>
  <c r="P15" i="8" s="1"/>
  <c r="L15" i="8"/>
  <c r="N8" i="8"/>
  <c r="N10" i="8"/>
  <c r="N11" i="8"/>
  <c r="N12" i="8"/>
  <c r="N13" i="8"/>
  <c r="N15" i="8"/>
  <c r="E14" i="8"/>
  <c r="F9" i="8"/>
  <c r="K9" i="8"/>
  <c r="C9" i="8"/>
  <c r="G9" i="8" s="1"/>
  <c r="H9" i="8" s="1"/>
  <c r="E11" i="5"/>
  <c r="E16" i="2"/>
  <c r="C9" i="5" l="1"/>
  <c r="J9" i="5"/>
  <c r="D9" i="5"/>
  <c r="K14" i="8"/>
  <c r="O9" i="8"/>
  <c r="P9" i="8" s="1"/>
  <c r="L9" i="8"/>
  <c r="M16" i="8"/>
  <c r="N16" i="8" s="1"/>
  <c r="N14" i="8"/>
  <c r="E16" i="8"/>
  <c r="F16" i="8" s="1"/>
  <c r="F14" i="8"/>
  <c r="D9" i="8"/>
  <c r="C14" i="8"/>
  <c r="G14" i="8" s="1"/>
  <c r="H14" i="8" s="1"/>
  <c r="C11" i="5" l="1"/>
  <c r="J11" i="5"/>
  <c r="D11" i="5"/>
  <c r="K16" i="8"/>
  <c r="O14" i="8"/>
  <c r="P14" i="8" s="1"/>
  <c r="L14" i="8"/>
  <c r="D14" i="8"/>
  <c r="C16" i="8"/>
  <c r="G16" i="8" s="1"/>
  <c r="H16" i="8" s="1"/>
  <c r="O16" i="8" l="1"/>
  <c r="P16" i="8" s="1"/>
  <c r="L16" i="8"/>
  <c r="D16" i="8"/>
  <c r="B17" i="2" l="1"/>
  <c r="B18" i="2"/>
  <c r="B19" i="2"/>
  <c r="B20" i="2"/>
  <c r="C7" i="6" s="1"/>
  <c r="C20" i="2"/>
  <c r="D7" i="6" s="1"/>
  <c r="D7" i="7" s="1"/>
  <c r="D20" i="2"/>
  <c r="E7" i="6" s="1"/>
  <c r="E7" i="7" s="1"/>
  <c r="E20" i="2"/>
  <c r="F7" i="6" s="1"/>
  <c r="F7" i="7" s="1"/>
  <c r="B21" i="2"/>
  <c r="C21" i="2"/>
  <c r="D21" i="2"/>
  <c r="E21" i="2"/>
  <c r="B22" i="2"/>
  <c r="C22" i="2"/>
  <c r="D22" i="2"/>
  <c r="E22" i="2"/>
  <c r="B23" i="2"/>
  <c r="C9" i="6" s="1"/>
  <c r="C23" i="2"/>
  <c r="D9" i="6" s="1"/>
  <c r="D9" i="7" s="1"/>
  <c r="D23" i="2"/>
  <c r="E9" i="6" s="1"/>
  <c r="E9" i="7" s="1"/>
  <c r="E23" i="2"/>
  <c r="F9" i="6" s="1"/>
  <c r="F9" i="7" s="1"/>
  <c r="B24" i="2"/>
  <c r="G140" i="1"/>
  <c r="G138" i="1"/>
  <c r="F140" i="1"/>
  <c r="F136" i="1"/>
  <c r="F138" i="1"/>
  <c r="D139" i="1"/>
  <c r="F131" i="1"/>
  <c r="G131" i="1" s="1"/>
  <c r="H131" i="1" s="1"/>
  <c r="I131" i="1" s="1"/>
  <c r="J131" i="1" s="1"/>
  <c r="F132" i="1"/>
  <c r="G132" i="1" s="1"/>
  <c r="H132" i="1" s="1"/>
  <c r="I132" i="1" s="1"/>
  <c r="J132" i="1" s="1"/>
  <c r="F122" i="1"/>
  <c r="F123" i="1"/>
  <c r="F117" i="1"/>
  <c r="F27" i="2"/>
  <c r="C100" i="1"/>
  <c r="D100" i="1"/>
  <c r="B100" i="1"/>
  <c r="C96" i="1"/>
  <c r="D96" i="1"/>
  <c r="B96" i="1"/>
  <c r="C94" i="1"/>
  <c r="D94" i="1"/>
  <c r="B94" i="1"/>
  <c r="C71" i="1"/>
  <c r="D71" i="1"/>
  <c r="B71" i="1"/>
  <c r="D65" i="1"/>
  <c r="B65" i="1"/>
  <c r="C51" i="1"/>
  <c r="C72" i="1" s="1"/>
  <c r="D51" i="1"/>
  <c r="D72" i="1" s="1"/>
  <c r="B51" i="1"/>
  <c r="B72" i="1" s="1"/>
  <c r="C43" i="1"/>
  <c r="C102" i="1" s="1"/>
  <c r="D43" i="1"/>
  <c r="D102" i="1" s="1"/>
  <c r="B43" i="1"/>
  <c r="B102" i="1" s="1"/>
  <c r="C41" i="1"/>
  <c r="D41" i="1"/>
  <c r="B41" i="1"/>
  <c r="D11" i="1"/>
  <c r="C11" i="1"/>
  <c r="B11" i="1"/>
  <c r="D5" i="1"/>
  <c r="D6" i="1"/>
  <c r="D4" i="1"/>
  <c r="B5" i="2" l="1"/>
  <c r="C5" i="2" s="1"/>
  <c r="D5" i="2" s="1"/>
  <c r="E5" i="2"/>
  <c r="B7" i="2"/>
  <c r="C7" i="2" s="1"/>
  <c r="D7" i="2" s="1"/>
  <c r="E7" i="2"/>
  <c r="B6" i="2"/>
  <c r="C6" i="2" s="1"/>
  <c r="D6" i="2" s="1"/>
  <c r="E6" i="2"/>
  <c r="C9" i="7"/>
  <c r="M9" i="6"/>
  <c r="L9" i="6"/>
  <c r="K9" i="6"/>
  <c r="J9" i="6"/>
  <c r="G9" i="6"/>
  <c r="C7" i="7"/>
  <c r="M7" i="6"/>
  <c r="L7" i="6"/>
  <c r="K7" i="6"/>
  <c r="J7" i="6"/>
  <c r="C10" i="6"/>
  <c r="C19" i="2"/>
  <c r="C18" i="2"/>
  <c r="C17" i="2"/>
  <c r="C8" i="6"/>
  <c r="G7" i="6"/>
  <c r="C119" i="1"/>
  <c r="D119" i="1"/>
  <c r="E119" i="1"/>
  <c r="B119" i="1"/>
  <c r="C121" i="1"/>
  <c r="D121" i="1"/>
  <c r="E121" i="1"/>
  <c r="B121" i="1"/>
  <c r="F121" i="1" s="1"/>
  <c r="C120" i="1"/>
  <c r="D120" i="1"/>
  <c r="E120" i="1"/>
  <c r="B120" i="1"/>
  <c r="C130" i="1"/>
  <c r="D130" i="1"/>
  <c r="E130" i="1"/>
  <c r="B130" i="1"/>
  <c r="C129" i="1"/>
  <c r="D129" i="1"/>
  <c r="E129" i="1"/>
  <c r="B129" i="1"/>
  <c r="F129" i="1" s="1"/>
  <c r="G129" i="1" s="1"/>
  <c r="H129" i="1" s="1"/>
  <c r="I129" i="1" s="1"/>
  <c r="J129" i="1" s="1"/>
  <c r="G139" i="1"/>
  <c r="F139" i="1"/>
  <c r="H138" i="1"/>
  <c r="I138" i="1"/>
  <c r="J138" i="1"/>
  <c r="H140" i="1"/>
  <c r="I140" i="1"/>
  <c r="J140" i="1"/>
  <c r="C73" i="1"/>
  <c r="D73" i="1"/>
  <c r="B73" i="1"/>
  <c r="E75" i="1"/>
  <c r="F130" i="1"/>
  <c r="G130" i="1" s="1"/>
  <c r="H130" i="1" s="1"/>
  <c r="I130" i="1" s="1"/>
  <c r="J130" i="1" s="1"/>
  <c r="F120" i="1"/>
  <c r="D7" i="1"/>
  <c r="F23" i="2"/>
  <c r="F22" i="2"/>
  <c r="F21" i="2"/>
  <c r="F20" i="2"/>
  <c r="E74" i="1"/>
  <c r="D12" i="1"/>
  <c r="D83" i="1" s="1"/>
  <c r="C12" i="1"/>
  <c r="C83" i="1" s="1"/>
  <c r="E11" i="1"/>
  <c r="F11" i="1" s="1"/>
  <c r="B12" i="1"/>
  <c r="C8" i="7" l="1"/>
  <c r="J8" i="6"/>
  <c r="D17" i="2"/>
  <c r="D8" i="6"/>
  <c r="C24" i="2"/>
  <c r="E17" i="2"/>
  <c r="D18" i="2"/>
  <c r="E18" i="2"/>
  <c r="D19" i="2"/>
  <c r="E10" i="6" s="1"/>
  <c r="E10" i="7" s="1"/>
  <c r="D10" i="6"/>
  <c r="D10" i="7" s="1"/>
  <c r="E19" i="2"/>
  <c r="F10" i="6" s="1"/>
  <c r="F10" i="7" s="1"/>
  <c r="C10" i="7"/>
  <c r="M10" i="6"/>
  <c r="L10" i="6"/>
  <c r="K10" i="6"/>
  <c r="J10" i="6"/>
  <c r="G10" i="6"/>
  <c r="M7" i="7"/>
  <c r="L7" i="7"/>
  <c r="K7" i="7"/>
  <c r="J7" i="7"/>
  <c r="G7" i="7"/>
  <c r="M9" i="7"/>
  <c r="L9" i="7"/>
  <c r="K9" i="7"/>
  <c r="J9" i="7"/>
  <c r="G9" i="7"/>
  <c r="G20" i="2"/>
  <c r="G21" i="2"/>
  <c r="G22" i="2"/>
  <c r="G23" i="2"/>
  <c r="H139" i="1"/>
  <c r="J139" i="1" s="1"/>
  <c r="I139" i="1"/>
  <c r="C124" i="1"/>
  <c r="E124" i="1"/>
  <c r="D124" i="1"/>
  <c r="B8" i="2"/>
  <c r="C4" i="6" s="1"/>
  <c r="C4" i="7" s="1"/>
  <c r="F119" i="1"/>
  <c r="B125" i="1"/>
  <c r="F19" i="2"/>
  <c r="F18" i="2"/>
  <c r="F17" i="2"/>
  <c r="F7" i="2"/>
  <c r="G7" i="2" s="1"/>
  <c r="F6" i="2"/>
  <c r="G6" i="2" s="1"/>
  <c r="B13" i="1"/>
  <c r="B83" i="1"/>
  <c r="F12" i="1"/>
  <c r="G14" i="1" s="1"/>
  <c r="F13" i="1"/>
  <c r="G11" i="1"/>
  <c r="B14" i="1"/>
  <c r="B87" i="1" s="1"/>
  <c r="E12" i="1"/>
  <c r="F14" i="1" s="1"/>
  <c r="D14" i="1"/>
  <c r="D87" i="1" s="1"/>
  <c r="D13" i="1"/>
  <c r="D15" i="1" s="1"/>
  <c r="C14" i="1"/>
  <c r="C87" i="1" s="1"/>
  <c r="C13" i="1"/>
  <c r="J4" i="7" l="1"/>
  <c r="M10" i="7"/>
  <c r="L10" i="7"/>
  <c r="K10" i="7"/>
  <c r="J10" i="7"/>
  <c r="G10" i="7"/>
  <c r="E24" i="2"/>
  <c r="F8" i="6"/>
  <c r="F8" i="7" s="1"/>
  <c r="D8" i="7"/>
  <c r="K8" i="6"/>
  <c r="E8" i="6"/>
  <c r="D24" i="2"/>
  <c r="K8" i="7"/>
  <c r="J8" i="7"/>
  <c r="J4" i="6"/>
  <c r="G12" i="1"/>
  <c r="H11" i="1"/>
  <c r="G17" i="2"/>
  <c r="G18" i="2"/>
  <c r="G19" i="2"/>
  <c r="C8" i="2"/>
  <c r="D4" i="6" s="1"/>
  <c r="D4" i="7" s="1"/>
  <c r="F124" i="1"/>
  <c r="F125" i="1" s="1"/>
  <c r="H23" i="2"/>
  <c r="H22" i="2"/>
  <c r="H21" i="2"/>
  <c r="H20" i="2"/>
  <c r="H7" i="2"/>
  <c r="G121" i="1"/>
  <c r="H6" i="2"/>
  <c r="G120" i="1"/>
  <c r="D52" i="1"/>
  <c r="D77" i="1"/>
  <c r="D53" i="1"/>
  <c r="D54" i="1"/>
  <c r="D23" i="1"/>
  <c r="D17" i="1"/>
  <c r="D18" i="1" s="1"/>
  <c r="D19" i="1" s="1"/>
  <c r="F15" i="1"/>
  <c r="E14" i="1"/>
  <c r="B15" i="1"/>
  <c r="C15" i="1"/>
  <c r="E13" i="1"/>
  <c r="K4" i="7" l="1"/>
  <c r="E8" i="7"/>
  <c r="M8" i="6"/>
  <c r="L8" i="6"/>
  <c r="G8" i="6"/>
  <c r="K4" i="6"/>
  <c r="H12" i="1"/>
  <c r="H13" i="1"/>
  <c r="G13" i="1"/>
  <c r="G15" i="1" s="1"/>
  <c r="H14" i="1"/>
  <c r="I20" i="2"/>
  <c r="I21" i="2"/>
  <c r="I22" i="2"/>
  <c r="I23" i="2"/>
  <c r="E8" i="2"/>
  <c r="F4" i="6" s="1"/>
  <c r="F4" i="7" s="1"/>
  <c r="D8" i="2"/>
  <c r="E4" i="6" s="1"/>
  <c r="E4" i="7" s="1"/>
  <c r="H19" i="2"/>
  <c r="H18" i="2"/>
  <c r="H17" i="2"/>
  <c r="H121" i="1"/>
  <c r="I7" i="2"/>
  <c r="H120" i="1"/>
  <c r="I6" i="2"/>
  <c r="F16" i="2"/>
  <c r="F5" i="2"/>
  <c r="B52" i="1"/>
  <c r="B77" i="1"/>
  <c r="C52" i="1"/>
  <c r="C77" i="1"/>
  <c r="B53" i="1"/>
  <c r="B54" i="1"/>
  <c r="C53" i="1"/>
  <c r="C54" i="1"/>
  <c r="B17" i="1"/>
  <c r="B18" i="1" s="1"/>
  <c r="B19" i="1" s="1"/>
  <c r="D34" i="1"/>
  <c r="D25" i="1"/>
  <c r="D27" i="1" s="1"/>
  <c r="D29" i="1" s="1"/>
  <c r="C23" i="1"/>
  <c r="C17" i="1"/>
  <c r="C18" i="1" s="1"/>
  <c r="C19" i="1" s="1"/>
  <c r="E15" i="1"/>
  <c r="B23" i="1"/>
  <c r="M4" i="7" l="1"/>
  <c r="L4" i="7"/>
  <c r="G4" i="7"/>
  <c r="M8" i="7"/>
  <c r="L8" i="7"/>
  <c r="G8" i="7"/>
  <c r="M4" i="6"/>
  <c r="L4" i="6"/>
  <c r="G4" i="6"/>
  <c r="H15" i="1"/>
  <c r="I17" i="2"/>
  <c r="I18" i="2"/>
  <c r="I19" i="2"/>
  <c r="J23" i="2"/>
  <c r="J22" i="2"/>
  <c r="J21" i="2"/>
  <c r="J20" i="2"/>
  <c r="I121" i="1"/>
  <c r="J7" i="2"/>
  <c r="J121" i="1" s="1"/>
  <c r="I120" i="1"/>
  <c r="J6" i="2"/>
  <c r="J120" i="1" s="1"/>
  <c r="F24" i="2"/>
  <c r="G16" i="2"/>
  <c r="F8" i="2"/>
  <c r="G5" i="2"/>
  <c r="G119" i="1" s="1"/>
  <c r="D55" i="1"/>
  <c r="B66" i="1"/>
  <c r="B67" i="1" s="1"/>
  <c r="D66" i="1"/>
  <c r="D67" i="1" s="1"/>
  <c r="D56" i="1"/>
  <c r="D35" i="1"/>
  <c r="D36" i="1"/>
  <c r="C34" i="1"/>
  <c r="C25" i="1"/>
  <c r="C27" i="1" s="1"/>
  <c r="C29" i="1" s="1"/>
  <c r="B34" i="1"/>
  <c r="B25" i="1"/>
  <c r="B27" i="1" s="1"/>
  <c r="B29" i="1" s="1"/>
  <c r="D30" i="1" s="1"/>
  <c r="E71" i="1" s="1"/>
  <c r="C128" i="1" l="1"/>
  <c r="D128" i="1"/>
  <c r="E128" i="1"/>
  <c r="B128" i="1"/>
  <c r="G124" i="1"/>
  <c r="J19" i="2"/>
  <c r="J18" i="2"/>
  <c r="J17" i="2"/>
  <c r="E72" i="1"/>
  <c r="E73" i="1" s="1"/>
  <c r="E76" i="1" s="1"/>
  <c r="F128" i="1"/>
  <c r="G128" i="1" s="1"/>
  <c r="H128" i="1" s="1"/>
  <c r="I128" i="1" s="1"/>
  <c r="J128" i="1" s="1"/>
  <c r="D37" i="1"/>
  <c r="D93" i="1"/>
  <c r="D95" i="1" s="1"/>
  <c r="D97" i="1" s="1"/>
  <c r="H16" i="2"/>
  <c r="G24" i="2"/>
  <c r="H5" i="2"/>
  <c r="H119" i="1" s="1"/>
  <c r="G8" i="2"/>
  <c r="C75" i="1"/>
  <c r="D75" i="1"/>
  <c r="B75" i="1"/>
  <c r="C74" i="1"/>
  <c r="C76" i="1" s="1"/>
  <c r="D74" i="1"/>
  <c r="D76" i="1" s="1"/>
  <c r="B74" i="1"/>
  <c r="B76" i="1" s="1"/>
  <c r="C35" i="1"/>
  <c r="C36" i="1"/>
  <c r="B35" i="1"/>
  <c r="B36" i="1"/>
  <c r="H124" i="1" l="1"/>
  <c r="D99" i="1"/>
  <c r="D101" i="1" s="1"/>
  <c r="D103" i="1" s="1"/>
  <c r="D38" i="1"/>
  <c r="D40" i="1" s="1"/>
  <c r="D42" i="1" s="1"/>
  <c r="D44" i="1" s="1"/>
  <c r="C78" i="1"/>
  <c r="C88" i="1"/>
  <c r="C89" i="1" s="1"/>
  <c r="C107" i="1" s="1"/>
  <c r="C84" i="1"/>
  <c r="C85" i="1" s="1"/>
  <c r="C110" i="1" s="1"/>
  <c r="C108" i="1"/>
  <c r="D78" i="1"/>
  <c r="D88" i="1"/>
  <c r="D89" i="1" s="1"/>
  <c r="D107" i="1" s="1"/>
  <c r="D84" i="1"/>
  <c r="D85" i="1" s="1"/>
  <c r="D110" i="1" s="1"/>
  <c r="D108" i="1"/>
  <c r="B78" i="1"/>
  <c r="E78" i="1" s="1"/>
  <c r="E79" i="1" s="1"/>
  <c r="B88" i="1"/>
  <c r="B89" i="1" s="1"/>
  <c r="B84" i="1"/>
  <c r="B85" i="1" s="1"/>
  <c r="B108" i="1"/>
  <c r="E108" i="1" s="1"/>
  <c r="C37" i="1"/>
  <c r="C93" i="1"/>
  <c r="C95" i="1" s="1"/>
  <c r="C97" i="1" s="1"/>
  <c r="B37" i="1"/>
  <c r="B93" i="1"/>
  <c r="B95" i="1" s="1"/>
  <c r="B97" i="1" s="1"/>
  <c r="E97" i="1" s="1"/>
  <c r="H24" i="2"/>
  <c r="I16" i="2"/>
  <c r="H8" i="2"/>
  <c r="I5" i="2"/>
  <c r="I119" i="1" s="1"/>
  <c r="I124" i="1" l="1"/>
  <c r="B99" i="1"/>
  <c r="B101" i="1" s="1"/>
  <c r="B103" i="1" s="1"/>
  <c r="B38" i="1"/>
  <c r="B40" i="1" s="1"/>
  <c r="B42" i="1" s="1"/>
  <c r="B44" i="1" s="1"/>
  <c r="C99" i="1"/>
  <c r="C101" i="1" s="1"/>
  <c r="C103" i="1" s="1"/>
  <c r="C38" i="1"/>
  <c r="C40" i="1" s="1"/>
  <c r="C42" i="1" s="1"/>
  <c r="C44" i="1" s="1"/>
  <c r="E89" i="1"/>
  <c r="B107" i="1"/>
  <c r="B110" i="1"/>
  <c r="E110" i="1" s="1"/>
  <c r="F107" i="1" s="1"/>
  <c r="E85" i="1"/>
  <c r="C109" i="1"/>
  <c r="C111" i="1" s="1"/>
  <c r="D109" i="1"/>
  <c r="D111" i="1" s="1"/>
  <c r="I24" i="2"/>
  <c r="J16" i="2"/>
  <c r="I8" i="2"/>
  <c r="J5" i="2"/>
  <c r="B12" i="2" l="1"/>
  <c r="B11" i="2"/>
  <c r="J124" i="1"/>
  <c r="J24" i="2"/>
  <c r="D45" i="1"/>
  <c r="E103" i="1"/>
  <c r="J8" i="2"/>
  <c r="J119" i="1"/>
  <c r="B109" i="1"/>
  <c r="E107" i="1"/>
  <c r="C11" i="2" l="1"/>
  <c r="D11" i="2" s="1"/>
  <c r="E11" i="2"/>
  <c r="C12" i="2"/>
  <c r="D12" i="2" s="1"/>
  <c r="E12" i="2"/>
  <c r="C127" i="1"/>
  <c r="D127" i="1"/>
  <c r="E127" i="1"/>
  <c r="B127" i="1"/>
  <c r="F127" i="1" s="1"/>
  <c r="G127" i="1" s="1"/>
  <c r="H127" i="1" s="1"/>
  <c r="I127" i="1" s="1"/>
  <c r="J127" i="1" s="1"/>
  <c r="B111" i="1"/>
  <c r="E109" i="1"/>
  <c r="F11" i="2"/>
  <c r="G11" i="2" s="1"/>
  <c r="H11" i="2" s="1"/>
  <c r="I11" i="2" s="1"/>
  <c r="J11" i="2" s="1"/>
  <c r="F12" i="2"/>
  <c r="G12" i="2" s="1"/>
  <c r="H12" i="2" s="1"/>
  <c r="I12" i="2" s="1"/>
  <c r="J12" i="2" s="1"/>
  <c r="B10" i="2" l="1"/>
  <c r="B9" i="2"/>
  <c r="E111" i="1"/>
  <c r="C10" i="2" l="1"/>
  <c r="D10" i="2" s="1"/>
  <c r="E10" i="2"/>
  <c r="B13" i="2"/>
  <c r="C5" i="6"/>
  <c r="C9" i="2"/>
  <c r="B25" i="2"/>
  <c r="B14" i="2"/>
  <c r="C5" i="7" l="1"/>
  <c r="J5" i="6"/>
  <c r="C6" i="6"/>
  <c r="C13" i="2"/>
  <c r="D5" i="6"/>
  <c r="B33" i="2"/>
  <c r="B34" i="2" s="1"/>
  <c r="B28" i="2"/>
  <c r="B29" i="2" s="1"/>
  <c r="B26" i="2"/>
  <c r="D9" i="2"/>
  <c r="C25" i="2"/>
  <c r="C14" i="2"/>
  <c r="B133" i="1"/>
  <c r="B30" i="2" l="1"/>
  <c r="B31" i="2" s="1"/>
  <c r="C12" i="6"/>
  <c r="D5" i="7"/>
  <c r="D6" i="7" s="1"/>
  <c r="D11" i="7" s="1"/>
  <c r="K5" i="6"/>
  <c r="J6" i="6"/>
  <c r="K5" i="7"/>
  <c r="J5" i="7"/>
  <c r="C6" i="7"/>
  <c r="D6" i="6"/>
  <c r="D13" i="2"/>
  <c r="E5" i="6"/>
  <c r="C11" i="6"/>
  <c r="C33" i="2"/>
  <c r="C34" i="2" s="1"/>
  <c r="C28" i="2"/>
  <c r="C26" i="2"/>
  <c r="E9" i="2"/>
  <c r="F10" i="2"/>
  <c r="D25" i="2"/>
  <c r="D14" i="2"/>
  <c r="B134" i="1"/>
  <c r="B135" i="1" s="1"/>
  <c r="B141" i="1" s="1"/>
  <c r="C117" i="1" s="1"/>
  <c r="C125" i="1" s="1"/>
  <c r="J11" i="6" l="1"/>
  <c r="E5" i="7"/>
  <c r="L5" i="6"/>
  <c r="D11" i="6"/>
  <c r="K6" i="6"/>
  <c r="C11" i="7"/>
  <c r="K6" i="7"/>
  <c r="J6" i="7"/>
  <c r="C12" i="7"/>
  <c r="J12" i="6"/>
  <c r="E6" i="6"/>
  <c r="E13" i="2"/>
  <c r="F5" i="6"/>
  <c r="C13" i="6"/>
  <c r="E11" i="6"/>
  <c r="D33" i="2"/>
  <c r="D34" i="2" s="1"/>
  <c r="D28" i="2"/>
  <c r="D26" i="2"/>
  <c r="G10" i="2"/>
  <c r="F9" i="2"/>
  <c r="F13" i="2" s="1"/>
  <c r="E25" i="2"/>
  <c r="E14" i="2"/>
  <c r="C29" i="2"/>
  <c r="C30" i="2"/>
  <c r="C31" i="2" s="1"/>
  <c r="C133" i="1" l="1"/>
  <c r="D12" i="6"/>
  <c r="J13" i="6"/>
  <c r="F5" i="7"/>
  <c r="F6" i="7" s="1"/>
  <c r="F11" i="7" s="1"/>
  <c r="M5" i="6"/>
  <c r="L6" i="6"/>
  <c r="J12" i="7"/>
  <c r="C13" i="7"/>
  <c r="K11" i="7"/>
  <c r="J11" i="7"/>
  <c r="D13" i="6"/>
  <c r="L11" i="6"/>
  <c r="K11" i="6"/>
  <c r="E6" i="7"/>
  <c r="M5" i="7"/>
  <c r="L5" i="7"/>
  <c r="G5" i="7"/>
  <c r="G6" i="7" s="1"/>
  <c r="G11" i="7" s="1"/>
  <c r="F6" i="6"/>
  <c r="G5" i="6"/>
  <c r="G6" i="6" s="1"/>
  <c r="G11" i="6" s="1"/>
  <c r="C134" i="1"/>
  <c r="C135" i="1" s="1"/>
  <c r="C141" i="1" s="1"/>
  <c r="D117" i="1" s="1"/>
  <c r="D125" i="1" s="1"/>
  <c r="E33" i="2"/>
  <c r="E34" i="2" s="1"/>
  <c r="E28" i="2"/>
  <c r="E26" i="2"/>
  <c r="F25" i="2"/>
  <c r="F14" i="2"/>
  <c r="G9" i="2"/>
  <c r="H10" i="2"/>
  <c r="D29" i="2"/>
  <c r="D30" i="2"/>
  <c r="D31" i="2" s="1"/>
  <c r="D133" i="1" l="1"/>
  <c r="E12" i="6"/>
  <c r="F11" i="6"/>
  <c r="M6" i="6"/>
  <c r="E11" i="7"/>
  <c r="M6" i="7"/>
  <c r="L6" i="7"/>
  <c r="K13" i="6"/>
  <c r="J13" i="7"/>
  <c r="D12" i="7"/>
  <c r="L12" i="6"/>
  <c r="K12" i="6"/>
  <c r="D134" i="1"/>
  <c r="I10" i="2"/>
  <c r="H9" i="2"/>
  <c r="G13" i="2"/>
  <c r="F111" i="1"/>
  <c r="F26" i="2"/>
  <c r="F28" i="2"/>
  <c r="F33" i="2"/>
  <c r="F34" i="2" s="1"/>
  <c r="E29" i="2"/>
  <c r="F12" i="6" s="1"/>
  <c r="E30" i="2"/>
  <c r="E31" i="2" s="1"/>
  <c r="D135" i="1"/>
  <c r="D141" i="1" s="1"/>
  <c r="E117" i="1" s="1"/>
  <c r="E125" i="1" s="1"/>
  <c r="F12" i="7" l="1"/>
  <c r="F13" i="7" s="1"/>
  <c r="M12" i="6"/>
  <c r="G12" i="6"/>
  <c r="G13" i="6" s="1"/>
  <c r="D13" i="7"/>
  <c r="K12" i="7"/>
  <c r="M11" i="7"/>
  <c r="L11" i="7"/>
  <c r="F13" i="6"/>
  <c r="M11" i="6"/>
  <c r="E12" i="7"/>
  <c r="E13" i="6"/>
  <c r="E133" i="1"/>
  <c r="F29" i="2"/>
  <c r="F30" i="2" s="1"/>
  <c r="F31" i="2" s="1"/>
  <c r="F110" i="1"/>
  <c r="G107" i="1" s="1"/>
  <c r="F108" i="1"/>
  <c r="F109" i="1" s="1"/>
  <c r="G25" i="2"/>
  <c r="G14" i="2"/>
  <c r="H13" i="2"/>
  <c r="G111" i="1"/>
  <c r="J10" i="2"/>
  <c r="J9" i="2" s="1"/>
  <c r="J13" i="2" s="1"/>
  <c r="I9" i="2"/>
  <c r="M13" i="6" l="1"/>
  <c r="L13" i="6"/>
  <c r="M12" i="7"/>
  <c r="L12" i="7"/>
  <c r="G12" i="7"/>
  <c r="G13" i="7" s="1"/>
  <c r="E13" i="7"/>
  <c r="M13" i="7"/>
  <c r="L13" i="7"/>
  <c r="K13" i="7"/>
  <c r="I13" i="2"/>
  <c r="H111" i="1"/>
  <c r="H110" i="1" s="1"/>
  <c r="J25" i="2"/>
  <c r="J14" i="2"/>
  <c r="G110" i="1"/>
  <c r="G108" i="1"/>
  <c r="H25" i="2"/>
  <c r="H14" i="2"/>
  <c r="G26" i="2"/>
  <c r="G28" i="2"/>
  <c r="G29" i="2" s="1"/>
  <c r="G30" i="2" s="1"/>
  <c r="G31" i="2" s="1"/>
  <c r="G33" i="2"/>
  <c r="G34" i="2" s="1"/>
  <c r="E134" i="1"/>
  <c r="E135" i="1" s="1"/>
  <c r="E141" i="1" s="1"/>
  <c r="F133" i="1"/>
  <c r="F134" i="1" l="1"/>
  <c r="F135" i="1" s="1"/>
  <c r="F141" i="1" s="1"/>
  <c r="G117" i="1" s="1"/>
  <c r="G125" i="1" s="1"/>
  <c r="G133" i="1"/>
  <c r="H26" i="2"/>
  <c r="H28" i="2"/>
  <c r="H29" i="2" s="1"/>
  <c r="H30" i="2" s="1"/>
  <c r="H31" i="2" s="1"/>
  <c r="H33" i="2"/>
  <c r="H34" i="2" s="1"/>
  <c r="J26" i="2"/>
  <c r="J28" i="2"/>
  <c r="J29" i="2" s="1"/>
  <c r="J30" i="2" s="1"/>
  <c r="J31" i="2" s="1"/>
  <c r="J33" i="2"/>
  <c r="J34" i="2" s="1"/>
  <c r="I25" i="2"/>
  <c r="I14" i="2"/>
  <c r="H107" i="1"/>
  <c r="H108" i="1" s="1"/>
  <c r="H109" i="1" s="1"/>
  <c r="G109" i="1"/>
  <c r="I26" i="2" l="1"/>
  <c r="I28" i="2"/>
  <c r="I29" i="2" s="1"/>
  <c r="I30" i="2" s="1"/>
  <c r="I31" i="2" s="1"/>
  <c r="I33" i="2"/>
  <c r="I34" i="2" s="1"/>
  <c r="G134" i="1"/>
  <c r="G135" i="1" s="1"/>
  <c r="G141" i="1" s="1"/>
  <c r="H117" i="1" s="1"/>
  <c r="H125" i="1" s="1"/>
  <c r="H133" i="1"/>
  <c r="H134" i="1" l="1"/>
  <c r="H135" i="1" s="1"/>
  <c r="H141" i="1" s="1"/>
  <c r="I117" i="1" s="1"/>
  <c r="I125" i="1" s="1"/>
  <c r="I133" i="1"/>
  <c r="I134" i="1" l="1"/>
  <c r="I135" i="1" s="1"/>
  <c r="I141" i="1" s="1"/>
  <c r="J117" i="1" s="1"/>
  <c r="J125" i="1" s="1"/>
  <c r="J133" i="1"/>
  <c r="J134" i="1" s="1"/>
  <c r="J135" i="1" l="1"/>
  <c r="J141" i="1" s="1"/>
</calcChain>
</file>

<file path=xl/sharedStrings.xml><?xml version="1.0" encoding="utf-8"?>
<sst xmlns="http://schemas.openxmlformats.org/spreadsheetml/2006/main" count="415" uniqueCount="226">
  <si>
    <t>Product</t>
  </si>
  <si>
    <t>Sales Budget</t>
  </si>
  <si>
    <t>Production Budget</t>
  </si>
  <si>
    <t>FY26</t>
  </si>
  <si>
    <t>FY27</t>
  </si>
  <si>
    <t>Cost Budget</t>
  </si>
  <si>
    <t>Direct Materials Usage Budget</t>
  </si>
  <si>
    <t>Direct Materials Purchases Budget</t>
  </si>
  <si>
    <t>Total units of DM required</t>
  </si>
  <si>
    <t>Total quantity of DM to be used</t>
  </si>
  <si>
    <t>Total quantity of DM to be purchased</t>
  </si>
  <si>
    <t>Direct Labour Budget</t>
  </si>
  <si>
    <t>DL cost per unit</t>
  </si>
  <si>
    <t>Total DL hours</t>
  </si>
  <si>
    <t>Manufacturing Overhead Costs Budget</t>
  </si>
  <si>
    <t>Fixed Costs</t>
  </si>
  <si>
    <t>Variable Costs</t>
  </si>
  <si>
    <t xml:space="preserve">Depreciation </t>
  </si>
  <si>
    <t>Indirect manufacturing labor</t>
  </si>
  <si>
    <t>Supervisory salaries and employee cost</t>
  </si>
  <si>
    <t>Equipment maintenance</t>
  </si>
  <si>
    <t>Factory Rent</t>
  </si>
  <si>
    <t>Utilities</t>
  </si>
  <si>
    <t>Other indirect fixed costs</t>
  </si>
  <si>
    <t>Total Fixed Costs</t>
  </si>
  <si>
    <t>Total Variable Costs</t>
  </si>
  <si>
    <t>Fixed cost per unit of product</t>
  </si>
  <si>
    <t>Variable cost per unit of product</t>
  </si>
  <si>
    <t>Direct Materials</t>
  </si>
  <si>
    <t>Direct Labour</t>
  </si>
  <si>
    <t>No of units produced</t>
  </si>
  <si>
    <t>Units sold</t>
  </si>
  <si>
    <t>FY28</t>
  </si>
  <si>
    <t>Budgeted units to be sold</t>
  </si>
  <si>
    <t>Total</t>
  </si>
  <si>
    <t>Weekly production requirement</t>
  </si>
  <si>
    <t>Daily production requirement</t>
  </si>
  <si>
    <t>Avg price per unit</t>
  </si>
  <si>
    <t>Finished Goods Inventory Budget</t>
  </si>
  <si>
    <t>Cost of Goods Sold Budget</t>
  </si>
  <si>
    <t>Expected goods available for sale</t>
  </si>
  <si>
    <t>Closing inventory of finished goods</t>
  </si>
  <si>
    <t>Total inventory</t>
  </si>
  <si>
    <t>Opening inventory of finished goods</t>
  </si>
  <si>
    <t>Total finished goods to be produced</t>
  </si>
  <si>
    <t>Quantity of DM (kg/unit)</t>
  </si>
  <si>
    <t>Monthtly production requirement</t>
  </si>
  <si>
    <t>Closing inventory of DM</t>
  </si>
  <si>
    <t>Total inventory of DM</t>
  </si>
  <si>
    <t>Opening inventory of DM</t>
  </si>
  <si>
    <t>Total DM units to be purchased</t>
  </si>
  <si>
    <t>Avg rate per hour</t>
  </si>
  <si>
    <t>Avg hourly time per unit</t>
  </si>
  <si>
    <t>Total DL hours for all products</t>
  </si>
  <si>
    <t>Other variable costs</t>
  </si>
  <si>
    <t>Standard costs calculation</t>
  </si>
  <si>
    <t>Variable Overheads</t>
  </si>
  <si>
    <t>Fixed Overheads</t>
  </si>
  <si>
    <t>No of DL hours required</t>
  </si>
  <si>
    <t>Direct Costs</t>
  </si>
  <si>
    <t>Standard cost</t>
  </si>
  <si>
    <t>Closing inventory</t>
  </si>
  <si>
    <t>Opening inventory</t>
  </si>
  <si>
    <t>Closing inventory value</t>
  </si>
  <si>
    <t>Opening inventory value</t>
  </si>
  <si>
    <t>Direct Materials Inventory Budget</t>
  </si>
  <si>
    <t>Quantity per unit</t>
  </si>
  <si>
    <t>Total quantity of closing inventory</t>
  </si>
  <si>
    <t>Expected budgeted usage</t>
  </si>
  <si>
    <t>Income Statement</t>
  </si>
  <si>
    <t>Quarterly</t>
  </si>
  <si>
    <t>Q1</t>
  </si>
  <si>
    <t>Q2</t>
  </si>
  <si>
    <t>Q3</t>
  </si>
  <si>
    <t>Q4</t>
  </si>
  <si>
    <t>FY2026</t>
  </si>
  <si>
    <t>Yearly</t>
  </si>
  <si>
    <t>FY2027</t>
  </si>
  <si>
    <t>FY2028</t>
  </si>
  <si>
    <t>FY2029</t>
  </si>
  <si>
    <t>FY2030</t>
  </si>
  <si>
    <t>Revenue</t>
  </si>
  <si>
    <t>COGS</t>
  </si>
  <si>
    <t>Gross Profit</t>
  </si>
  <si>
    <t>Gross Profit Margin</t>
  </si>
  <si>
    <t>Operating Expenses</t>
  </si>
  <si>
    <t>Depreciation</t>
  </si>
  <si>
    <t>Total Operating Expenses</t>
  </si>
  <si>
    <t>Operating Income (EBIT/PBIT)</t>
  </si>
  <si>
    <t>Operating Profit Margin</t>
  </si>
  <si>
    <t>Interest Expenses</t>
  </si>
  <si>
    <t>EBT/PBT</t>
  </si>
  <si>
    <t>Tax</t>
  </si>
  <si>
    <t>Net Income</t>
  </si>
  <si>
    <t>Profit Margin</t>
  </si>
  <si>
    <t>EBITDA</t>
  </si>
  <si>
    <t>EBITDA Margin</t>
  </si>
  <si>
    <t>Cash Budget for the Year</t>
  </si>
  <si>
    <t>Particulars</t>
  </si>
  <si>
    <t>Opening Cash Balance</t>
  </si>
  <si>
    <t>Cash Collections - Expected @85%</t>
  </si>
  <si>
    <t>Sale of assets</t>
  </si>
  <si>
    <t>Received from Investor/Founder</t>
  </si>
  <si>
    <t>Total Cash Available</t>
  </si>
  <si>
    <t>Disbursements</t>
  </si>
  <si>
    <t>Variable Manufacturing Overheads</t>
  </si>
  <si>
    <t>Fixed Manufacturing Overheads</t>
  </si>
  <si>
    <t>Non-manufacturing Costs</t>
  </si>
  <si>
    <t>Other Expenses</t>
  </si>
  <si>
    <t>Taxes</t>
  </si>
  <si>
    <t>Total Cash Required</t>
  </si>
  <si>
    <t>Cash Balance</t>
  </si>
  <si>
    <t>Capital</t>
  </si>
  <si>
    <t>Financing</t>
  </si>
  <si>
    <t>Borrowings/Loans</t>
  </si>
  <si>
    <t>Repayments during the period</t>
  </si>
  <si>
    <t>Interest on Loans</t>
  </si>
  <si>
    <t>Cash Balance after Finance Cost</t>
  </si>
  <si>
    <t>Collection from previous quarter</t>
  </si>
  <si>
    <t>FY29</t>
  </si>
  <si>
    <t>Nameplates</t>
  </si>
  <si>
    <t>Frames</t>
  </si>
  <si>
    <t>Engraved Items</t>
  </si>
  <si>
    <t>Category</t>
  </si>
  <si>
    <t>Actual Results</t>
  </si>
  <si>
    <t>Flexible Budget</t>
  </si>
  <si>
    <t>Static Budget</t>
  </si>
  <si>
    <t>Revenues</t>
  </si>
  <si>
    <t>Variable costs</t>
  </si>
  <si>
    <t>Direct materials</t>
  </si>
  <si>
    <t>Direct manufacturing labor</t>
  </si>
  <si>
    <t>Variable manufacturing overhead</t>
  </si>
  <si>
    <t>Total variable costs</t>
  </si>
  <si>
    <t>Fixed costs</t>
  </si>
  <si>
    <t>Operating income</t>
  </si>
  <si>
    <t>Favourable/
Unfavourable</t>
  </si>
  <si>
    <t>Actual</t>
  </si>
  <si>
    <t>Actual - YTD</t>
  </si>
  <si>
    <t>Particular</t>
  </si>
  <si>
    <t>Employee Expenses</t>
  </si>
  <si>
    <t>Depreciation Expenses</t>
  </si>
  <si>
    <t>EBT</t>
  </si>
  <si>
    <t>Net Profit</t>
  </si>
  <si>
    <t>Figures in INR</t>
  </si>
  <si>
    <t>FY 2026</t>
  </si>
  <si>
    <t>Factory &amp; Equipments</t>
  </si>
  <si>
    <t>Quarters</t>
  </si>
  <si>
    <t>Quarterly Variance</t>
  </si>
  <si>
    <t>YTD Variance</t>
  </si>
  <si>
    <t>Budget</t>
  </si>
  <si>
    <t>in INR</t>
  </si>
  <si>
    <t>% Sales</t>
  </si>
  <si>
    <t>Variance</t>
  </si>
  <si>
    <t>% Variance</t>
  </si>
  <si>
    <t>Select quarter from dropdown</t>
  </si>
  <si>
    <t>Contribution margin</t>
  </si>
  <si>
    <t>Actual vs Flexible Variance</t>
  </si>
  <si>
    <t>Flexible vs Static Variance</t>
  </si>
  <si>
    <t>Static vs Actual Variance</t>
  </si>
  <si>
    <t>Metric</t>
  </si>
  <si>
    <t>Direct labour</t>
  </si>
  <si>
    <t>Variable manufacturing OH</t>
  </si>
  <si>
    <t>FY30</t>
  </si>
  <si>
    <t>BUDGET EXECUTIVE SUMMARY</t>
  </si>
  <si>
    <t>Revenue vs Flexible Budget</t>
  </si>
  <si>
    <t>Revenue vs Static Budget</t>
  </si>
  <si>
    <t>DM Variance vs Flexible</t>
  </si>
  <si>
    <t>DL Variance vs Flexible</t>
  </si>
  <si>
    <t>Variable OH vs Flexible</t>
  </si>
  <si>
    <t>Fixed Costs vs Flexible</t>
  </si>
  <si>
    <t>+6.7%</t>
  </si>
  <si>
    <t>-4.8%</t>
  </si>
  <si>
    <t>+24.7%</t>
  </si>
  <si>
    <t>+26.6%</t>
  </si>
  <si>
    <t>-40.0%</t>
  </si>
  <si>
    <t>-40.5%</t>
  </si>
  <si>
    <t>Favourable</t>
  </si>
  <si>
    <t>Unfavourable</t>
  </si>
  <si>
    <t>Executive narrative</t>
  </si>
  <si>
    <t>1. Volume is below the static plan but above the flexible benchmark: actual units sold are 4,500 versus 4,725 static budget, while the flexible budget resets to 4,500 units. This indicates the principal top-line gap to static budget is volume, not price.</t>
  </si>
  <si>
    <t>2. Revenue quality is mixed: actual revenue of $925,000 is 6.7% above the flexible budget of $867,188, but 4.8% below the static budget of $971,250. The implied average selling price is $205.56 per unit versus $205.56 in the static plan, so the static shortfall is primarily the 225-unit volume gap.</t>
  </si>
  <si>
    <t>3. Cost absorption is the main budget pressure. Direct materials are $99,203 versus $79,549 flexible budget (+24.7%) and direct labour is $157,500 versus $124,422 (+26.6%). These two items more than offset the 40.0% favourable variable-overhead variance.</t>
  </si>
  <si>
    <t>4. Fixed manufacturing costs are $40,000 versus $67,250 flexible budget (-40.5%), providing substantial protection to operating profit. As a result, operating income is $604,297, 8.7% above the flexible budget, despite the adverse material and labour variances.</t>
  </si>
  <si>
    <t>5. Against the static budget, operating income is 7.5% below plan. The budget story therefore depends heavily on flexible-budget interpretation: operational profitability is above the activity-adjusted benchmark, but the original plan was not fully achieved.</t>
  </si>
  <si>
    <t>6. Forward budget: production grows from 4,725 units in FY26 to 6,044 in FY29 (~8.5% CAGR). The budget assumes continued growth in revenue and costs, while cash remains positive throughout the forecast horizon.</t>
  </si>
  <si>
    <t>Core budget variance bridge</t>
  </si>
  <si>
    <t>Var %</t>
  </si>
  <si>
    <t>Vs Static</t>
  </si>
  <si>
    <t>Comment</t>
  </si>
  <si>
    <t>Volume 4.8% below static plan</t>
  </si>
  <si>
    <t>Above activity-adjusted budget; below original plan</t>
  </si>
  <si>
    <t>Major adverse cost variance; reconcile to master budget</t>
  </si>
  <si>
    <t>Hours/rates materially above flexible plan</t>
  </si>
  <si>
    <t>Favourable, but investigate whether budget basis is consistent</t>
  </si>
  <si>
    <t>Favourable; validate whether planned spend is committed/deferred</t>
  </si>
  <si>
    <t>Higher than flexible budget, below static plan</t>
  </si>
  <si>
    <t>Favourable vs flex; below static budget</t>
  </si>
  <si>
    <t>Product-level standard budget economics</t>
  </si>
  <si>
    <t>Units produced</t>
  </si>
  <si>
    <t>Revenue / unit</t>
  </si>
  <si>
    <t>DM / unit</t>
  </si>
  <si>
    <t>DL / unit</t>
  </si>
  <si>
    <t>OH / unit</t>
  </si>
  <si>
    <t>Standard cost / unit</t>
  </si>
  <si>
    <t>Budget margin / unit</t>
  </si>
  <si>
    <t>Forward budget outlook</t>
  </si>
  <si>
    <t>Trend / implication</t>
  </si>
  <si>
    <t>~8.5% CAGR through FY29</t>
  </si>
  <si>
    <t>Budgeted cost grows faster than units; monitor margin</t>
  </si>
  <si>
    <t>Ending cash after finance cost</t>
  </si>
  <si>
    <t>Positive throughout; liquidity buffer builds</t>
  </si>
  <si>
    <t>FY2026 budget performance | Joy Deep Mukherjee</t>
  </si>
  <si>
    <t>Selling price per unit (INR)</t>
  </si>
  <si>
    <t>Total Sales Revenue (INR)</t>
  </si>
  <si>
    <t>Total cost of DM to be used (INR)</t>
  </si>
  <si>
    <t>Total cost of DM to be used for all products (INR)</t>
  </si>
  <si>
    <t>Total cost of DM to be purchased (INR)</t>
  </si>
  <si>
    <t>Total cost of DM to be purchased for all products (INR)</t>
  </si>
  <si>
    <t>Total DL cost (INR)</t>
  </si>
  <si>
    <t>Total DL costs for all products (INR)</t>
  </si>
  <si>
    <t>Amount (INR)</t>
  </si>
  <si>
    <t>Total Costs (INR)</t>
  </si>
  <si>
    <t>Total Standard Cost (INR)</t>
  </si>
  <si>
    <t>Total Standard Cost for each product (INR)</t>
  </si>
  <si>
    <t>Cost of Goods Sold (INR)</t>
  </si>
  <si>
    <t>Scope: budget-related analysis only, using the Sales Budget, Production Budget, Direct Materials Usage/Purchases, Direct Labour, Manufacturing Overhead, Standard Costs, Inventory, COGS, Cash Budget and Variance Analysis schedules.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</si>
</sst>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0.0%"/>
    <numFmt numFmtId="167" formatCode="_([$€]* #,##0.00_);_([$€]* \(#,##0.00\);_([$€]* &quot;-&quot;??_);_(@_)"/>
    <numFmt numFmtId="168" formatCode="_ * #,##0.0_ ;_ * \-#,##0.0_ ;_ * &quot;-&quot;??_ ;_ @_ "/>
    <numFmt numFmtId="169" formatCode="[$-14009]dd/mm/yyyy;@"/>
    <numFmt numFmtId="170" formatCode="#,##0.0"/>
    <numFmt numFmtId="171" formatCode="#,##0.0;[Red]\(#,##0.0\)"/>
    <numFmt numFmtId="172" formatCode="\$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.6"/>
      <color rgb="FF0D0D0D"/>
      <name val="Calibri"/>
      <family val="2"/>
      <scheme val="minor"/>
    </font>
    <font>
      <sz val="9.6"/>
      <name val="Calibri"/>
      <family val="2"/>
      <scheme val="minor"/>
    </font>
    <font>
      <b/>
      <sz val="9.6"/>
      <color rgb="FF0D0D0D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color rgb="FFFFFFFF"/>
      <name val="Calibri"/>
    </font>
    <font>
      <i/>
      <sz val="11"/>
      <color rgb="FF666666"/>
      <name val="Calibri"/>
    </font>
    <font>
      <b/>
      <sz val="9"/>
      <color rgb="FF1F1F1F"/>
      <name val="Calibri"/>
    </font>
    <font>
      <b/>
      <sz val="16"/>
      <color rgb="FF17365D"/>
      <name val="Calibri"/>
    </font>
    <font>
      <b/>
      <sz val="9"/>
      <name val="Calibri"/>
    </font>
    <font>
      <b/>
      <sz val="14"/>
      <color rgb="FF17365D"/>
      <name val="Calibri"/>
    </font>
    <font>
      <sz val="10"/>
      <color rgb="FF1F1F1F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666666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35049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4" fillId="0" borderId="0"/>
    <xf numFmtId="9" fontId="1" fillId="0" borderId="0"/>
    <xf numFmtId="43" fontId="1" fillId="0" borderId="0"/>
  </cellStyleXfs>
  <cellXfs count="252">
    <xf numFmtId="0" fontId="0" fillId="0" borderId="0" xfId="0"/>
    <xf numFmtId="0" fontId="2" fillId="2" borderId="9" xfId="0" applyFont="1" applyFill="1" applyBorder="1"/>
    <xf numFmtId="0" fontId="2" fillId="2" borderId="11" xfId="0" applyFont="1" applyFill="1" applyBorder="1"/>
    <xf numFmtId="0" fontId="0" fillId="0" borderId="4" xfId="0" applyBorder="1"/>
    <xf numFmtId="164" fontId="0" fillId="0" borderId="5" xfId="1" applyNumberFormat="1" applyFont="1" applyBorder="1"/>
    <xf numFmtId="0" fontId="0" fillId="0" borderId="6" xfId="0" applyBorder="1"/>
    <xf numFmtId="164" fontId="0" fillId="0" borderId="8" xfId="1" applyNumberFormat="1" applyFont="1" applyBorder="1"/>
    <xf numFmtId="0" fontId="3" fillId="0" borderId="1" xfId="0" applyFont="1" applyBorder="1"/>
    <xf numFmtId="0" fontId="2" fillId="2" borderId="2" xfId="0" applyFont="1" applyFill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164" fontId="3" fillId="0" borderId="5" xfId="1" applyNumberFormat="1" applyFont="1" applyBorder="1"/>
    <xf numFmtId="0" fontId="2" fillId="2" borderId="0" xfId="0" applyFont="1" applyFill="1"/>
    <xf numFmtId="164" fontId="3" fillId="0" borderId="0" xfId="1" applyNumberFormat="1" applyFont="1" applyBorder="1"/>
    <xf numFmtId="164" fontId="0" fillId="0" borderId="0" xfId="0" applyNumberFormat="1"/>
    <xf numFmtId="164" fontId="3" fillId="0" borderId="14" xfId="0" applyNumberFormat="1" applyFont="1" applyBorder="1"/>
    <xf numFmtId="0" fontId="0" fillId="0" borderId="3" xfId="0" applyBorder="1"/>
    <xf numFmtId="0" fontId="3" fillId="0" borderId="15" xfId="0" applyFont="1" applyBorder="1"/>
    <xf numFmtId="0" fontId="0" fillId="0" borderId="13" xfId="0" applyBorder="1"/>
    <xf numFmtId="0" fontId="0" fillId="0" borderId="5" xfId="0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" xfId="0" applyBorder="1"/>
    <xf numFmtId="0" fontId="0" fillId="0" borderId="10" xfId="0" applyBorder="1"/>
    <xf numFmtId="1" fontId="0" fillId="0" borderId="10" xfId="0" applyNumberFormat="1" applyBorder="1"/>
    <xf numFmtId="1" fontId="0" fillId="0" borderId="0" xfId="0" applyNumberFormat="1"/>
    <xf numFmtId="1" fontId="0" fillId="0" borderId="7" xfId="0" applyNumberFormat="1" applyBorder="1"/>
    <xf numFmtId="1" fontId="0" fillId="0" borderId="11" xfId="0" applyNumberFormat="1" applyBorder="1"/>
    <xf numFmtId="1" fontId="0" fillId="0" borderId="5" xfId="0" applyNumberFormat="1" applyBorder="1"/>
    <xf numFmtId="1" fontId="0" fillId="0" borderId="8" xfId="0" applyNumberFormat="1" applyBorder="1"/>
    <xf numFmtId="0" fontId="3" fillId="0" borderId="3" xfId="0" applyFont="1" applyBorder="1"/>
    <xf numFmtId="164" fontId="3" fillId="0" borderId="12" xfId="1" applyNumberFormat="1" applyFont="1" applyBorder="1"/>
    <xf numFmtId="164" fontId="3" fillId="0" borderId="13" xfId="1" applyNumberFormat="1" applyFont="1" applyBorder="1"/>
    <xf numFmtId="164" fontId="3" fillId="0" borderId="14" xfId="1" applyNumberFormat="1" applyFont="1" applyBorder="1"/>
    <xf numFmtId="164" fontId="0" fillId="0" borderId="0" xfId="1" applyNumberFormat="1" applyFont="1" applyBorder="1"/>
    <xf numFmtId="164" fontId="0" fillId="0" borderId="13" xfId="1" applyNumberFormat="1" applyFont="1" applyBorder="1"/>
    <xf numFmtId="164" fontId="3" fillId="0" borderId="13" xfId="0" applyNumberFormat="1" applyFont="1" applyBorder="1"/>
    <xf numFmtId="0" fontId="3" fillId="0" borderId="2" xfId="0" applyFont="1" applyBorder="1"/>
    <xf numFmtId="1" fontId="3" fillId="0" borderId="0" xfId="0" applyNumberFormat="1" applyFont="1"/>
    <xf numFmtId="1" fontId="3" fillId="0" borderId="5" xfId="0" applyNumberFormat="1" applyFont="1" applyBorder="1"/>
    <xf numFmtId="1" fontId="3" fillId="0" borderId="14" xfId="0" applyNumberFormat="1" applyFont="1" applyBorder="1"/>
    <xf numFmtId="164" fontId="0" fillId="0" borderId="5" xfId="0" applyNumberFormat="1" applyBorder="1"/>
    <xf numFmtId="0" fontId="0" fillId="0" borderId="11" xfId="0" applyBorder="1"/>
    <xf numFmtId="164" fontId="0" fillId="0" borderId="14" xfId="1" applyNumberFormat="1" applyFont="1" applyBorder="1"/>
    <xf numFmtId="0" fontId="2" fillId="2" borderId="5" xfId="0" applyFont="1" applyFill="1" applyBorder="1"/>
    <xf numFmtId="164" fontId="0" fillId="0" borderId="7" xfId="1" applyNumberFormat="1" applyFont="1" applyBorder="1"/>
    <xf numFmtId="164" fontId="0" fillId="0" borderId="8" xfId="1" applyNumberFormat="1" applyFont="1" applyBorder="1" applyAlignment="1">
      <alignment vertical="center"/>
    </xf>
    <xf numFmtId="1" fontId="3" fillId="0" borderId="13" xfId="0" applyNumberFormat="1" applyFont="1" applyBorder="1"/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2" fillId="2" borderId="3" xfId="0" applyFont="1" applyFill="1" applyBorder="1"/>
    <xf numFmtId="164" fontId="3" fillId="0" borderId="7" xfId="1" applyNumberFormat="1" applyFont="1" applyBorder="1"/>
    <xf numFmtId="1" fontId="1" fillId="0" borderId="8" xfId="1" applyNumberFormat="1" applyFont="1" applyBorder="1"/>
    <xf numFmtId="1" fontId="3" fillId="0" borderId="14" xfId="1" applyNumberFormat="1" applyFont="1" applyBorder="1"/>
    <xf numFmtId="0" fontId="0" fillId="0" borderId="2" xfId="0" applyBorder="1"/>
    <xf numFmtId="164" fontId="0" fillId="0" borderId="3" xfId="0" applyNumberFormat="1" applyBorder="1"/>
    <xf numFmtId="164" fontId="3" fillId="0" borderId="3" xfId="0" applyNumberFormat="1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0" fontId="2" fillId="2" borderId="19" xfId="0" applyFont="1" applyFill="1" applyBorder="1"/>
    <xf numFmtId="0" fontId="2" fillId="2" borderId="20" xfId="0" applyFont="1" applyFill="1" applyBorder="1"/>
    <xf numFmtId="0" fontId="3" fillId="0" borderId="19" xfId="0" applyFont="1" applyBorder="1"/>
    <xf numFmtId="0" fontId="0" fillId="0" borderId="20" xfId="0" applyBorder="1"/>
    <xf numFmtId="0" fontId="0" fillId="0" borderId="19" xfId="0" applyBorder="1"/>
    <xf numFmtId="164" fontId="0" fillId="0" borderId="20" xfId="1" applyNumberFormat="1" applyFont="1" applyBorder="1"/>
    <xf numFmtId="164" fontId="3" fillId="0" borderId="0" xfId="0" applyNumberFormat="1" applyFont="1"/>
    <xf numFmtId="166" fontId="3" fillId="0" borderId="0" xfId="2" applyNumberFormat="1" applyFont="1" applyBorder="1"/>
    <xf numFmtId="0" fontId="3" fillId="0" borderId="21" xfId="0" applyFont="1" applyBorder="1"/>
    <xf numFmtId="164" fontId="7" fillId="0" borderId="0" xfId="1" applyNumberFormat="1" applyFont="1" applyBorder="1"/>
    <xf numFmtId="164" fontId="4" fillId="0" borderId="0" xfId="0" applyNumberFormat="1" applyFont="1"/>
    <xf numFmtId="164" fontId="7" fillId="0" borderId="20" xfId="1" applyNumberFormat="1" applyFont="1" applyBorder="1"/>
    <xf numFmtId="164" fontId="4" fillId="0" borderId="20" xfId="0" applyNumberFormat="1" applyFont="1" applyBorder="1"/>
    <xf numFmtId="166" fontId="4" fillId="0" borderId="0" xfId="2" applyNumberFormat="1" applyFont="1" applyBorder="1"/>
    <xf numFmtId="166" fontId="4" fillId="0" borderId="20" xfId="2" applyNumberFormat="1" applyFont="1" applyBorder="1"/>
    <xf numFmtId="0" fontId="7" fillId="0" borderId="0" xfId="0" applyFont="1"/>
    <xf numFmtId="0" fontId="7" fillId="0" borderId="20" xfId="0" applyFont="1" applyBorder="1"/>
    <xf numFmtId="0" fontId="3" fillId="0" borderId="24" xfId="0" applyFont="1" applyBorder="1"/>
    <xf numFmtId="164" fontId="3" fillId="0" borderId="25" xfId="0" applyNumberFormat="1" applyFont="1" applyBorder="1"/>
    <xf numFmtId="164" fontId="4" fillId="0" borderId="25" xfId="0" applyNumberFormat="1" applyFont="1" applyBorder="1"/>
    <xf numFmtId="0" fontId="3" fillId="0" borderId="26" xfId="0" applyFont="1" applyBorder="1"/>
    <xf numFmtId="164" fontId="3" fillId="0" borderId="27" xfId="0" applyNumberFormat="1" applyFont="1" applyBorder="1"/>
    <xf numFmtId="164" fontId="4" fillId="0" borderId="27" xfId="0" applyNumberFormat="1" applyFont="1" applyBorder="1"/>
    <xf numFmtId="164" fontId="4" fillId="0" borderId="28" xfId="0" applyNumberFormat="1" applyFont="1" applyBorder="1"/>
    <xf numFmtId="0" fontId="3" fillId="0" borderId="16" xfId="0" applyFont="1" applyBorder="1"/>
    <xf numFmtId="164" fontId="3" fillId="0" borderId="17" xfId="0" applyNumberFormat="1" applyFont="1" applyBorder="1"/>
    <xf numFmtId="164" fontId="4" fillId="0" borderId="17" xfId="0" applyNumberFormat="1" applyFont="1" applyBorder="1"/>
    <xf numFmtId="164" fontId="4" fillId="0" borderId="18" xfId="0" applyNumberFormat="1" applyFont="1" applyBorder="1"/>
    <xf numFmtId="0" fontId="0" fillId="0" borderId="16" xfId="0" applyBorder="1"/>
    <xf numFmtId="0" fontId="0" fillId="0" borderId="17" xfId="0" applyBorder="1"/>
    <xf numFmtId="164" fontId="0" fillId="0" borderId="17" xfId="1" applyNumberFormat="1" applyFont="1" applyBorder="1"/>
    <xf numFmtId="0" fontId="7" fillId="0" borderId="17" xfId="0" applyFont="1" applyBorder="1"/>
    <xf numFmtId="0" fontId="7" fillId="0" borderId="18" xfId="0" applyFont="1" applyBorder="1"/>
    <xf numFmtId="164" fontId="3" fillId="0" borderId="22" xfId="0" applyNumberFormat="1" applyFont="1" applyBorder="1"/>
    <xf numFmtId="164" fontId="4" fillId="0" borderId="22" xfId="0" applyNumberFormat="1" applyFont="1" applyBorder="1"/>
    <xf numFmtId="164" fontId="4" fillId="0" borderId="23" xfId="0" applyNumberFormat="1" applyFont="1" applyBorder="1"/>
    <xf numFmtId="164" fontId="7" fillId="0" borderId="17" xfId="1" applyNumberFormat="1" applyFont="1" applyBorder="1"/>
    <xf numFmtId="164" fontId="7" fillId="0" borderId="18" xfId="1" applyNumberFormat="1" applyFont="1" applyBorder="1"/>
    <xf numFmtId="164" fontId="4" fillId="0" borderId="29" xfId="0" applyNumberFormat="1" applyFont="1" applyBorder="1"/>
    <xf numFmtId="0" fontId="3" fillId="0" borderId="30" xfId="0" applyFont="1" applyBorder="1"/>
    <xf numFmtId="166" fontId="3" fillId="0" borderId="22" xfId="2" applyNumberFormat="1" applyFont="1" applyBorder="1"/>
    <xf numFmtId="166" fontId="4" fillId="0" borderId="22" xfId="2" applyNumberFormat="1" applyFont="1" applyBorder="1"/>
    <xf numFmtId="166" fontId="4" fillId="0" borderId="23" xfId="2" applyNumberFormat="1" applyFont="1" applyBorder="1"/>
    <xf numFmtId="166" fontId="3" fillId="0" borderId="31" xfId="2" applyNumberFormat="1" applyFont="1" applyBorder="1"/>
    <xf numFmtId="166" fontId="4" fillId="0" borderId="31" xfId="2" applyNumberFormat="1" applyFont="1" applyBorder="1"/>
    <xf numFmtId="166" fontId="4" fillId="0" borderId="32" xfId="2" applyNumberFormat="1" applyFont="1" applyBorder="1"/>
    <xf numFmtId="0" fontId="2" fillId="5" borderId="0" xfId="0" applyFont="1" applyFill="1"/>
    <xf numFmtId="0" fontId="2" fillId="5" borderId="20" xfId="0" applyFont="1" applyFill="1" applyBorder="1"/>
    <xf numFmtId="0" fontId="3" fillId="0" borderId="36" xfId="0" applyFont="1" applyBorder="1"/>
    <xf numFmtId="164" fontId="3" fillId="0" borderId="37" xfId="1" applyNumberFormat="1" applyFont="1" applyBorder="1"/>
    <xf numFmtId="0" fontId="3" fillId="0" borderId="38" xfId="0" applyFont="1" applyBorder="1"/>
    <xf numFmtId="164" fontId="3" fillId="0" borderId="39" xfId="0" applyNumberFormat="1" applyFont="1" applyBorder="1"/>
    <xf numFmtId="164" fontId="3" fillId="0" borderId="39" xfId="1" applyNumberFormat="1" applyFont="1" applyBorder="1"/>
    <xf numFmtId="164" fontId="3" fillId="0" borderId="40" xfId="1" applyNumberFormat="1" applyFont="1" applyBorder="1"/>
    <xf numFmtId="164" fontId="3" fillId="0" borderId="12" xfId="0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4" borderId="12" xfId="0" applyFont="1" applyFill="1" applyBorder="1"/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4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0" fillId="0" borderId="0" xfId="0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13" fillId="0" borderId="0" xfId="0" applyFont="1"/>
    <xf numFmtId="168" fontId="12" fillId="10" borderId="12" xfId="1" applyNumberFormat="1" applyFont="1" applyFill="1" applyBorder="1"/>
    <xf numFmtId="168" fontId="13" fillId="6" borderId="4" xfId="1" applyNumberFormat="1" applyFont="1" applyFill="1" applyBorder="1" applyAlignment="1">
      <alignment horizontal="left" indent="1"/>
    </xf>
    <xf numFmtId="168" fontId="13" fillId="6" borderId="4" xfId="1" applyNumberFormat="1" applyFont="1" applyFill="1" applyBorder="1"/>
    <xf numFmtId="168" fontId="12" fillId="10" borderId="6" xfId="1" applyNumberFormat="1" applyFont="1" applyFill="1" applyBorder="1"/>
    <xf numFmtId="0" fontId="12" fillId="7" borderId="19" xfId="0" applyFont="1" applyFill="1" applyBorder="1"/>
    <xf numFmtId="164" fontId="12" fillId="10" borderId="12" xfId="1" applyNumberFormat="1" applyFont="1" applyFill="1" applyBorder="1"/>
    <xf numFmtId="164" fontId="12" fillId="10" borderId="1" xfId="1" applyNumberFormat="1" applyFont="1" applyFill="1" applyBorder="1"/>
    <xf numFmtId="164" fontId="13" fillId="0" borderId="0" xfId="0" applyNumberFormat="1" applyFont="1"/>
    <xf numFmtId="164" fontId="13" fillId="6" borderId="4" xfId="1" applyNumberFormat="1" applyFont="1" applyFill="1" applyBorder="1"/>
    <xf numFmtId="164" fontId="13" fillId="6" borderId="3" xfId="1" applyNumberFormat="1" applyFont="1" applyFill="1" applyBorder="1"/>
    <xf numFmtId="164" fontId="13" fillId="6" borderId="4" xfId="1" applyNumberFormat="1" applyFont="1" applyFill="1" applyBorder="1" applyAlignment="1">
      <alignment horizontal="left" indent="1"/>
    </xf>
    <xf numFmtId="164" fontId="13" fillId="6" borderId="3" xfId="1" applyNumberFormat="1" applyFont="1" applyFill="1" applyBorder="1" applyAlignment="1">
      <alignment horizontal="left" indent="1"/>
    </xf>
    <xf numFmtId="164" fontId="12" fillId="10" borderId="6" xfId="1" applyNumberFormat="1" applyFont="1" applyFill="1" applyBorder="1"/>
    <xf numFmtId="164" fontId="12" fillId="10" borderId="15" xfId="1" applyNumberFormat="1" applyFont="1" applyFill="1" applyBorder="1"/>
    <xf numFmtId="164" fontId="13" fillId="6" borderId="6" xfId="1" applyNumberFormat="1" applyFont="1" applyFill="1" applyBorder="1"/>
    <xf numFmtId="164" fontId="13" fillId="6" borderId="15" xfId="1" applyNumberFormat="1" applyFont="1" applyFill="1" applyBorder="1"/>
    <xf numFmtId="164" fontId="0" fillId="0" borderId="0" xfId="1" applyNumberFormat="1" applyFont="1"/>
    <xf numFmtId="9" fontId="0" fillId="0" borderId="0" xfId="2" applyFont="1"/>
    <xf numFmtId="166" fontId="0" fillId="0" borderId="0" xfId="2" applyNumberFormat="1" applyFon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7" fontId="12" fillId="7" borderId="12" xfId="3" applyFont="1" applyFill="1" applyBorder="1" applyAlignment="1">
      <alignment horizontal="left" vertical="center" indent="1"/>
    </xf>
    <xf numFmtId="14" fontId="12" fillId="7" borderId="12" xfId="3" applyNumberFormat="1" applyFont="1" applyFill="1" applyBorder="1" applyAlignment="1">
      <alignment horizontal="left" vertical="center" indent="1"/>
    </xf>
    <xf numFmtId="168" fontId="12" fillId="7" borderId="12" xfId="1" applyNumberFormat="1" applyFont="1" applyFill="1" applyBorder="1"/>
    <xf numFmtId="164" fontId="12" fillId="7" borderId="13" xfId="1" applyNumberFormat="1" applyFont="1" applyFill="1" applyBorder="1"/>
    <xf numFmtId="164" fontId="12" fillId="7" borderId="14" xfId="1" applyNumberFormat="1" applyFont="1" applyFill="1" applyBorder="1"/>
    <xf numFmtId="164" fontId="12" fillId="7" borderId="12" xfId="1" applyNumberFormat="1" applyFont="1" applyFill="1" applyBorder="1"/>
    <xf numFmtId="164" fontId="12" fillId="7" borderId="1" xfId="1" applyNumberFormat="1" applyFont="1" applyFill="1" applyBorder="1"/>
    <xf numFmtId="0" fontId="15" fillId="7" borderId="19" xfId="0" applyFont="1" applyFill="1" applyBorder="1"/>
    <xf numFmtId="166" fontId="13" fillId="6" borderId="4" xfId="2" applyNumberFormat="1" applyFont="1" applyFill="1" applyBorder="1"/>
    <xf numFmtId="166" fontId="12" fillId="10" borderId="6" xfId="2" applyNumberFormat="1" applyFont="1" applyFill="1" applyBorder="1"/>
    <xf numFmtId="166" fontId="12" fillId="10" borderId="12" xfId="2" applyNumberFormat="1" applyFont="1" applyFill="1" applyBorder="1"/>
    <xf numFmtId="166" fontId="13" fillId="6" borderId="6" xfId="2" applyNumberFormat="1" applyFont="1" applyFill="1" applyBorder="1"/>
    <xf numFmtId="166" fontId="12" fillId="7" borderId="13" xfId="2" applyNumberFormat="1" applyFont="1" applyFill="1" applyBorder="1"/>
    <xf numFmtId="166" fontId="13" fillId="6" borderId="3" xfId="2" applyNumberFormat="1" applyFont="1" applyFill="1" applyBorder="1"/>
    <xf numFmtId="166" fontId="12" fillId="10" borderId="15" xfId="2" applyNumberFormat="1" applyFont="1" applyFill="1" applyBorder="1"/>
    <xf numFmtId="166" fontId="12" fillId="10" borderId="1" xfId="2" applyNumberFormat="1" applyFont="1" applyFill="1" applyBorder="1"/>
    <xf numFmtId="166" fontId="12" fillId="7" borderId="1" xfId="2" applyNumberFormat="1" applyFont="1" applyFill="1" applyBorder="1"/>
    <xf numFmtId="166" fontId="13" fillId="6" borderId="15" xfId="2" applyNumberFormat="1" applyFont="1" applyFill="1" applyBorder="1"/>
    <xf numFmtId="166" fontId="12" fillId="7" borderId="14" xfId="2" applyNumberFormat="1" applyFont="1" applyFill="1" applyBorder="1"/>
    <xf numFmtId="14" fontId="12" fillId="7" borderId="1" xfId="3" applyNumberFormat="1" applyFont="1" applyFill="1" applyBorder="1" applyAlignment="1">
      <alignment horizontal="left" vertical="center" indent="1"/>
    </xf>
    <xf numFmtId="0" fontId="12" fillId="0" borderId="0" xfId="0" applyFont="1"/>
    <xf numFmtId="169" fontId="15" fillId="11" borderId="9" xfId="0" applyNumberFormat="1" applyFont="1" applyFill="1" applyBorder="1" applyAlignment="1">
      <alignment horizontal="center"/>
    </xf>
    <xf numFmtId="166" fontId="9" fillId="8" borderId="0" xfId="2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6" fontId="9" fillId="8" borderId="7" xfId="2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166" fontId="9" fillId="8" borderId="10" xfId="2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1" fontId="0" fillId="0" borderId="0" xfId="2" applyNumberFormat="1" applyFont="1"/>
    <xf numFmtId="0" fontId="9" fillId="9" borderId="3" xfId="0" applyFont="1" applyFill="1" applyBorder="1" applyAlignment="1">
      <alignment vertical="center"/>
    </xf>
    <xf numFmtId="164" fontId="9" fillId="9" borderId="15" xfId="1" applyNumberFormat="1" applyFont="1" applyFill="1" applyBorder="1" applyAlignment="1">
      <alignment vertical="center"/>
    </xf>
    <xf numFmtId="164" fontId="9" fillId="9" borderId="3" xfId="1" applyNumberFormat="1" applyFont="1" applyFill="1" applyBorder="1" applyAlignment="1">
      <alignment horizontal="right" vertical="center"/>
    </xf>
    <xf numFmtId="164" fontId="9" fillId="9" borderId="2" xfId="1" applyNumberFormat="1" applyFont="1" applyFill="1" applyBorder="1" applyAlignment="1">
      <alignment horizontal="right" vertical="center"/>
    </xf>
    <xf numFmtId="164" fontId="9" fillId="9" borderId="15" xfId="1" applyNumberFormat="1" applyFont="1" applyFill="1" applyBorder="1" applyAlignment="1">
      <alignment horizontal="right" vertical="center"/>
    </xf>
    <xf numFmtId="164" fontId="9" fillId="9" borderId="3" xfId="1" applyNumberFormat="1" applyFont="1" applyFill="1" applyBorder="1" applyAlignment="1">
      <alignment vertical="center"/>
    </xf>
    <xf numFmtId="0" fontId="9" fillId="9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vertical="center"/>
    </xf>
    <xf numFmtId="0" fontId="9" fillId="8" borderId="8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vertical="center"/>
    </xf>
    <xf numFmtId="0" fontId="9" fillId="9" borderId="4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vertical="center"/>
    </xf>
    <xf numFmtId="0" fontId="9" fillId="8" borderId="11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166" fontId="10" fillId="8" borderId="0" xfId="2" applyNumberFormat="1" applyFont="1" applyFill="1" applyBorder="1" applyAlignment="1">
      <alignment horizontal="center" vertical="center"/>
    </xf>
    <xf numFmtId="166" fontId="10" fillId="8" borderId="7" xfId="2" applyNumberFormat="1" applyFont="1" applyFill="1" applyBorder="1" applyAlignment="1">
      <alignment horizontal="center" vertical="center"/>
    </xf>
    <xf numFmtId="166" fontId="10" fillId="8" borderId="10" xfId="2" applyNumberFormat="1" applyFont="1" applyFill="1" applyBorder="1" applyAlignment="1">
      <alignment horizontal="center" vertical="center"/>
    </xf>
    <xf numFmtId="0" fontId="18" fillId="15" borderId="42" xfId="0" applyFont="1" applyFill="1" applyBorder="1" applyAlignment="1">
      <alignment horizontal="center" vertical="center" wrapText="1"/>
    </xf>
    <xf numFmtId="0" fontId="18" fillId="13" borderId="4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19" fillId="15" borderId="42" xfId="0" applyFont="1" applyFill="1" applyBorder="1" applyAlignment="1">
      <alignment horizontal="center" vertical="center" wrapText="1"/>
    </xf>
    <xf numFmtId="0" fontId="19" fillId="13" borderId="42" xfId="0" applyFont="1" applyFill="1" applyBorder="1" applyAlignment="1">
      <alignment horizontal="center" vertical="center" wrapText="1"/>
    </xf>
    <xf numFmtId="0" fontId="19" fillId="14" borderId="42" xfId="0" applyFont="1" applyFill="1" applyBorder="1" applyAlignment="1">
      <alignment horizontal="center" vertical="center" wrapText="1"/>
    </xf>
    <xf numFmtId="0" fontId="20" fillId="15" borderId="42" xfId="0" applyFont="1" applyFill="1" applyBorder="1" applyAlignment="1">
      <alignment horizontal="center" vertical="center" wrapText="1"/>
    </xf>
    <xf numFmtId="0" fontId="20" fillId="13" borderId="42" xfId="0" applyFont="1" applyFill="1" applyBorder="1" applyAlignment="1">
      <alignment horizontal="center" vertical="center" wrapText="1"/>
    </xf>
    <xf numFmtId="0" fontId="20" fillId="14" borderId="42" xfId="0" applyFont="1" applyFill="1" applyBorder="1" applyAlignment="1">
      <alignment horizontal="center" vertical="center" wrapText="1"/>
    </xf>
    <xf numFmtId="0" fontId="23" fillId="12" borderId="0" xfId="0" applyFont="1" applyFill="1" applyAlignment="1">
      <alignment horizontal="center" wrapText="1"/>
    </xf>
    <xf numFmtId="0" fontId="24" fillId="0" borderId="41" xfId="0" applyFont="1" applyBorder="1" applyAlignment="1">
      <alignment vertical="center" wrapText="1"/>
    </xf>
    <xf numFmtId="171" fontId="0" fillId="0" borderId="41" xfId="0" applyNumberFormat="1" applyBorder="1" applyAlignment="1">
      <alignment vertical="center" wrapText="1"/>
    </xf>
    <xf numFmtId="166" fontId="0" fillId="0" borderId="41" xfId="0" applyNumberFormat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1" xfId="0" applyBorder="1"/>
    <xf numFmtId="3" fontId="0" fillId="0" borderId="41" xfId="0" applyNumberFormat="1" applyBorder="1"/>
    <xf numFmtId="172" fontId="0" fillId="0" borderId="41" xfId="0" applyNumberFormat="1" applyBorder="1"/>
    <xf numFmtId="0" fontId="23" fillId="12" borderId="0" xfId="0" applyFont="1" applyFill="1"/>
    <xf numFmtId="0" fontId="0" fillId="0" borderId="41" xfId="0" applyBorder="1" applyAlignment="1">
      <alignment wrapText="1"/>
    </xf>
    <xf numFmtId="170" fontId="0" fillId="0" borderId="41" xfId="0" applyNumberFormat="1" applyBorder="1" applyAlignment="1">
      <alignment wrapText="1"/>
    </xf>
    <xf numFmtId="0" fontId="8" fillId="0" borderId="1" xfId="0" applyFont="1" applyBorder="1" applyAlignment="1">
      <alignment vertical="top"/>
    </xf>
    <xf numFmtId="0" fontId="21" fillId="0" borderId="0" xfId="0" applyFont="1"/>
    <xf numFmtId="0" fontId="0" fillId="0" borderId="0" xfId="0"/>
    <xf numFmtId="0" fontId="25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16" fillId="12" borderId="0" xfId="0" applyFont="1" applyFill="1" applyAlignment="1">
      <alignment vertical="center"/>
    </xf>
    <xf numFmtId="0" fontId="17" fillId="0" borderId="0" xfId="0" applyFont="1" applyAlignment="1">
      <alignment wrapText="1"/>
    </xf>
    <xf numFmtId="14" fontId="12" fillId="7" borderId="12" xfId="3" applyNumberFormat="1" applyFont="1" applyFill="1" applyBorder="1" applyAlignment="1">
      <alignment horizontal="center" vertical="center"/>
    </xf>
    <xf numFmtId="14" fontId="12" fillId="7" borderId="14" xfId="3" applyNumberFormat="1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7" borderId="14" xfId="0" applyFont="1" applyFill="1" applyBorder="1" applyAlignment="1">
      <alignment horizontal="center"/>
    </xf>
    <xf numFmtId="0" fontId="15" fillId="7" borderId="9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</cellXfs>
  <cellStyles count="6">
    <cellStyle name="Comma" xfId="1" builtinId="3"/>
    <cellStyle name="Comma 2" xfId="5" xr:uid="{CA17A78A-54F1-4CB1-9C69-60F57EF886A3}"/>
    <cellStyle name="Normal" xfId="0" builtinId="0"/>
    <cellStyle name="Normal 5 3" xfId="3" xr:uid="{07CF7DE6-1606-4A36-A0F3-BCA8C3FDD210}"/>
    <cellStyle name="Percent" xfId="2" builtinId="5"/>
    <cellStyle name="Percent 2" xfId="4" xr:uid="{D3FF2452-1443-46BC-8912-A8F1C739A7D8}"/>
  </cellStyles>
  <dxfs count="9">
    <dxf>
      <font>
        <b val="0"/>
        <i val="0"/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63D-2B16-4E03-B03E-ECE21DF6C88D}">
  <dimension ref="B2:I41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8" customWidth="1"/>
    <col min="3" max="3" width="19.42578125" bestFit="1" customWidth="1"/>
    <col min="4" max="9" width="18" customWidth="1"/>
  </cols>
  <sheetData>
    <row r="2" spans="2:9" ht="33.950000000000003" customHeight="1" x14ac:dyDescent="0.25">
      <c r="B2" s="225" t="s">
        <v>163</v>
      </c>
      <c r="C2" s="222"/>
      <c r="D2" s="222"/>
      <c r="E2" s="222"/>
      <c r="F2" s="222"/>
      <c r="G2" s="222"/>
      <c r="H2" s="222"/>
      <c r="I2" s="222"/>
    </row>
    <row r="3" spans="2:9" x14ac:dyDescent="0.25">
      <c r="B3" s="226" t="s">
        <v>211</v>
      </c>
      <c r="C3" s="222"/>
      <c r="D3" s="222"/>
      <c r="E3" s="222"/>
      <c r="F3" s="222"/>
      <c r="G3" s="222"/>
      <c r="H3" s="222"/>
      <c r="I3" s="222"/>
    </row>
    <row r="5" spans="2:9" ht="24" x14ac:dyDescent="0.25">
      <c r="B5" s="200" t="s">
        <v>164</v>
      </c>
      <c r="C5" s="201" t="s">
        <v>165</v>
      </c>
      <c r="D5" s="202" t="s">
        <v>166</v>
      </c>
      <c r="E5" s="202" t="s">
        <v>167</v>
      </c>
      <c r="F5" s="200" t="s">
        <v>168</v>
      </c>
      <c r="G5" s="200" t="s">
        <v>169</v>
      </c>
    </row>
    <row r="6" spans="2:9" ht="21" x14ac:dyDescent="0.25">
      <c r="B6" s="203" t="s">
        <v>170</v>
      </c>
      <c r="C6" s="204" t="s">
        <v>171</v>
      </c>
      <c r="D6" s="205" t="s">
        <v>172</v>
      </c>
      <c r="E6" s="205" t="s">
        <v>173</v>
      </c>
      <c r="F6" s="203" t="s">
        <v>174</v>
      </c>
      <c r="G6" s="203" t="s">
        <v>175</v>
      </c>
    </row>
    <row r="7" spans="2:9" x14ac:dyDescent="0.25">
      <c r="B7" s="206" t="s">
        <v>176</v>
      </c>
      <c r="C7" s="207" t="s">
        <v>177</v>
      </c>
      <c r="D7" s="208" t="s">
        <v>177</v>
      </c>
      <c r="E7" s="208" t="s">
        <v>177</v>
      </c>
      <c r="F7" s="206" t="s">
        <v>176</v>
      </c>
      <c r="G7" s="206" t="s">
        <v>176</v>
      </c>
    </row>
    <row r="9" spans="2:9" ht="18.75" x14ac:dyDescent="0.3">
      <c r="B9" s="221" t="s">
        <v>178</v>
      </c>
      <c r="C9" s="222"/>
      <c r="D9" s="222"/>
      <c r="E9" s="222"/>
      <c r="F9" s="222"/>
      <c r="G9" s="222"/>
      <c r="H9" s="222"/>
      <c r="I9" s="222"/>
    </row>
    <row r="10" spans="2:9" ht="33.950000000000003" customHeight="1" x14ac:dyDescent="0.25">
      <c r="B10" s="224" t="s">
        <v>179</v>
      </c>
      <c r="C10" s="222"/>
      <c r="D10" s="222"/>
      <c r="E10" s="222"/>
      <c r="F10" s="222"/>
      <c r="G10" s="222"/>
      <c r="H10" s="222"/>
      <c r="I10" s="222"/>
    </row>
    <row r="11" spans="2:9" ht="33.950000000000003" customHeight="1" x14ac:dyDescent="0.25">
      <c r="B11" s="224" t="s">
        <v>180</v>
      </c>
      <c r="C11" s="222"/>
      <c r="D11" s="222"/>
      <c r="E11" s="222"/>
      <c r="F11" s="222"/>
      <c r="G11" s="222"/>
      <c r="H11" s="222"/>
      <c r="I11" s="222"/>
    </row>
    <row r="12" spans="2:9" ht="33.950000000000003" customHeight="1" x14ac:dyDescent="0.25">
      <c r="B12" s="224" t="s">
        <v>181</v>
      </c>
      <c r="C12" s="222"/>
      <c r="D12" s="222"/>
      <c r="E12" s="222"/>
      <c r="F12" s="222"/>
      <c r="G12" s="222"/>
      <c r="H12" s="222"/>
      <c r="I12" s="222"/>
    </row>
    <row r="13" spans="2:9" ht="33.950000000000003" customHeight="1" x14ac:dyDescent="0.25">
      <c r="B13" s="224" t="s">
        <v>182</v>
      </c>
      <c r="C13" s="222"/>
      <c r="D13" s="222"/>
      <c r="E13" s="222"/>
      <c r="F13" s="222"/>
      <c r="G13" s="222"/>
      <c r="H13" s="222"/>
      <c r="I13" s="222"/>
    </row>
    <row r="14" spans="2:9" ht="33.950000000000003" customHeight="1" x14ac:dyDescent="0.25">
      <c r="B14" s="224" t="s">
        <v>183</v>
      </c>
      <c r="C14" s="222"/>
      <c r="D14" s="222"/>
      <c r="E14" s="222"/>
      <c r="F14" s="222"/>
      <c r="G14" s="222"/>
      <c r="H14" s="222"/>
      <c r="I14" s="222"/>
    </row>
    <row r="15" spans="2:9" ht="33.950000000000003" customHeight="1" x14ac:dyDescent="0.25">
      <c r="B15" s="224" t="s">
        <v>184</v>
      </c>
      <c r="C15" s="222"/>
      <c r="D15" s="222"/>
      <c r="E15" s="222"/>
      <c r="F15" s="222"/>
      <c r="G15" s="222"/>
      <c r="H15" s="222"/>
      <c r="I15" s="222"/>
    </row>
    <row r="17" spans="2:9" ht="18.75" x14ac:dyDescent="0.3">
      <c r="B17" s="221" t="s">
        <v>185</v>
      </c>
      <c r="C17" s="222"/>
      <c r="D17" s="222"/>
      <c r="E17" s="222"/>
      <c r="F17" s="222"/>
      <c r="G17" s="222"/>
      <c r="H17" s="222"/>
      <c r="I17" s="222"/>
    </row>
    <row r="18" spans="2:9" x14ac:dyDescent="0.25">
      <c r="B18" s="209" t="s">
        <v>159</v>
      </c>
      <c r="C18" s="209" t="s">
        <v>136</v>
      </c>
      <c r="D18" s="209" t="s">
        <v>125</v>
      </c>
      <c r="E18" s="209" t="s">
        <v>152</v>
      </c>
      <c r="F18" s="209" t="s">
        <v>186</v>
      </c>
      <c r="G18" s="209" t="s">
        <v>126</v>
      </c>
      <c r="H18" s="209" t="s">
        <v>187</v>
      </c>
      <c r="I18" s="209" t="s">
        <v>188</v>
      </c>
    </row>
    <row r="19" spans="2:9" ht="30" x14ac:dyDescent="0.25">
      <c r="B19" s="210" t="s">
        <v>31</v>
      </c>
      <c r="C19" s="211">
        <v>4500</v>
      </c>
      <c r="D19" s="211">
        <v>4500</v>
      </c>
      <c r="E19" s="211">
        <v>0</v>
      </c>
      <c r="F19" s="212">
        <v>0</v>
      </c>
      <c r="G19" s="211">
        <v>4725</v>
      </c>
      <c r="H19" s="211">
        <v>-225</v>
      </c>
      <c r="I19" s="213" t="s">
        <v>189</v>
      </c>
    </row>
    <row r="20" spans="2:9" ht="60" x14ac:dyDescent="0.25">
      <c r="B20" s="210" t="s">
        <v>81</v>
      </c>
      <c r="C20" s="211">
        <v>925000</v>
      </c>
      <c r="D20" s="211">
        <v>867187.5</v>
      </c>
      <c r="E20" s="211">
        <v>57812.5</v>
      </c>
      <c r="F20" s="212">
        <v>6.6667000000000004E-2</v>
      </c>
      <c r="G20" s="211">
        <v>971250</v>
      </c>
      <c r="H20" s="211">
        <v>-46250</v>
      </c>
      <c r="I20" s="213" t="s">
        <v>190</v>
      </c>
    </row>
    <row r="21" spans="2:9" ht="45" x14ac:dyDescent="0.25">
      <c r="B21" s="210" t="s">
        <v>129</v>
      </c>
      <c r="C21" s="211">
        <v>99202.8125</v>
      </c>
      <c r="D21" s="211">
        <v>79549</v>
      </c>
      <c r="E21" s="211">
        <v>19653.8125</v>
      </c>
      <c r="F21" s="212">
        <v>0.24706500000000001</v>
      </c>
      <c r="G21" s="211">
        <v>79202.8125</v>
      </c>
      <c r="H21" s="211">
        <v>20000</v>
      </c>
      <c r="I21" s="213" t="s">
        <v>191</v>
      </c>
    </row>
    <row r="22" spans="2:9" ht="45" x14ac:dyDescent="0.25">
      <c r="B22" s="210" t="s">
        <v>160</v>
      </c>
      <c r="C22" s="211">
        <v>157500</v>
      </c>
      <c r="D22" s="211">
        <v>124422</v>
      </c>
      <c r="E22" s="211">
        <v>33078</v>
      </c>
      <c r="F22" s="212">
        <v>0.26585300000000001</v>
      </c>
      <c r="G22" s="211">
        <v>137500</v>
      </c>
      <c r="H22" s="211">
        <v>20000</v>
      </c>
      <c r="I22" s="213" t="s">
        <v>192</v>
      </c>
    </row>
    <row r="23" spans="2:9" ht="60" x14ac:dyDescent="0.25">
      <c r="B23" s="210" t="s">
        <v>161</v>
      </c>
      <c r="C23" s="211">
        <v>24000</v>
      </c>
      <c r="D23" s="211">
        <v>40000</v>
      </c>
      <c r="E23" s="211">
        <v>-16000</v>
      </c>
      <c r="F23" s="212">
        <v>-0.4</v>
      </c>
      <c r="G23" s="211">
        <v>36000</v>
      </c>
      <c r="H23" s="211">
        <v>-12000</v>
      </c>
      <c r="I23" s="213" t="s">
        <v>193</v>
      </c>
    </row>
    <row r="24" spans="2:9" ht="75" x14ac:dyDescent="0.25">
      <c r="B24" s="210" t="s">
        <v>133</v>
      </c>
      <c r="C24" s="211">
        <v>40000</v>
      </c>
      <c r="D24" s="211">
        <v>67250</v>
      </c>
      <c r="E24" s="211">
        <v>-27250</v>
      </c>
      <c r="F24" s="212">
        <v>-0.40520400000000001</v>
      </c>
      <c r="G24" s="211">
        <v>65000</v>
      </c>
      <c r="H24" s="211">
        <v>-25000</v>
      </c>
      <c r="I24" s="213" t="s">
        <v>194</v>
      </c>
    </row>
    <row r="25" spans="2:9" ht="45" x14ac:dyDescent="0.25">
      <c r="B25" s="210" t="s">
        <v>155</v>
      </c>
      <c r="C25" s="211">
        <v>644297.1875</v>
      </c>
      <c r="D25" s="211">
        <v>623216.5</v>
      </c>
      <c r="E25" s="211">
        <v>21080.6875</v>
      </c>
      <c r="F25" s="212">
        <v>3.3826000000000002E-2</v>
      </c>
      <c r="G25" s="211">
        <v>718547.1875</v>
      </c>
      <c r="H25" s="211">
        <v>-74250</v>
      </c>
      <c r="I25" s="213" t="s">
        <v>195</v>
      </c>
    </row>
    <row r="26" spans="2:9" ht="45" x14ac:dyDescent="0.25">
      <c r="B26" s="210" t="s">
        <v>134</v>
      </c>
      <c r="C26" s="211">
        <v>604297.1875</v>
      </c>
      <c r="D26" s="211">
        <v>555966.5</v>
      </c>
      <c r="E26" s="211">
        <v>48330.6875</v>
      </c>
      <c r="F26" s="212">
        <v>8.6930999999999994E-2</v>
      </c>
      <c r="G26" s="211">
        <v>653547.1875</v>
      </c>
      <c r="H26" s="211">
        <v>-49250</v>
      </c>
      <c r="I26" s="213" t="s">
        <v>196</v>
      </c>
    </row>
    <row r="27" spans="2:9" ht="18.75" x14ac:dyDescent="0.3">
      <c r="B27" s="221" t="s">
        <v>197</v>
      </c>
      <c r="C27" s="222"/>
      <c r="D27" s="222"/>
      <c r="E27" s="222"/>
      <c r="F27" s="222"/>
      <c r="G27" s="222"/>
      <c r="H27" s="222"/>
      <c r="I27" s="222"/>
    </row>
    <row r="28" spans="2:9" ht="30" x14ac:dyDescent="0.25">
      <c r="B28" s="209" t="s">
        <v>0</v>
      </c>
      <c r="C28" s="209" t="s">
        <v>198</v>
      </c>
      <c r="D28" s="209" t="s">
        <v>199</v>
      </c>
      <c r="E28" s="209" t="s">
        <v>200</v>
      </c>
      <c r="F28" s="209" t="s">
        <v>201</v>
      </c>
      <c r="G28" s="209" t="s">
        <v>202</v>
      </c>
      <c r="H28" s="209" t="s">
        <v>203</v>
      </c>
      <c r="I28" s="209" t="s">
        <v>204</v>
      </c>
    </row>
    <row r="29" spans="2:9" x14ac:dyDescent="0.25">
      <c r="B29" s="214" t="s">
        <v>120</v>
      </c>
      <c r="C29" s="215">
        <v>2100</v>
      </c>
      <c r="D29" s="216">
        <v>200</v>
      </c>
      <c r="E29" s="216">
        <v>10</v>
      </c>
      <c r="F29" s="216">
        <v>30</v>
      </c>
      <c r="G29" s="216">
        <v>7.6190476189999998</v>
      </c>
      <c r="H29" s="216">
        <v>47.619047619</v>
      </c>
      <c r="I29" s="216">
        <v>152.38095238099999</v>
      </c>
    </row>
    <row r="30" spans="2:9" x14ac:dyDescent="0.25">
      <c r="B30" s="214" t="s">
        <v>121</v>
      </c>
      <c r="C30" s="215">
        <v>1575</v>
      </c>
      <c r="D30" s="216">
        <v>150</v>
      </c>
      <c r="E30" s="216">
        <v>10.5</v>
      </c>
      <c r="F30" s="216">
        <v>40</v>
      </c>
      <c r="G30" s="216">
        <v>20.238095238</v>
      </c>
      <c r="H30" s="216">
        <v>65.738095238</v>
      </c>
      <c r="I30" s="216">
        <v>84.261904762</v>
      </c>
    </row>
    <row r="31" spans="2:9" x14ac:dyDescent="0.25">
      <c r="B31" s="214" t="s">
        <v>122</v>
      </c>
      <c r="C31" s="215">
        <v>1050</v>
      </c>
      <c r="D31" s="216">
        <v>300</v>
      </c>
      <c r="E31" s="216">
        <v>10</v>
      </c>
      <c r="F31" s="216">
        <v>30</v>
      </c>
      <c r="G31" s="216">
        <v>22.857142856999999</v>
      </c>
      <c r="H31" s="216">
        <v>62.857142856999999</v>
      </c>
      <c r="I31" s="216">
        <v>237.14285714299999</v>
      </c>
    </row>
    <row r="34" spans="2:9" ht="18.75" x14ac:dyDescent="0.3">
      <c r="B34" s="221" t="s">
        <v>205</v>
      </c>
      <c r="C34" s="222"/>
      <c r="D34" s="222"/>
      <c r="E34" s="222"/>
      <c r="F34" s="222"/>
      <c r="G34" s="222"/>
      <c r="H34" s="222"/>
      <c r="I34" s="222"/>
    </row>
    <row r="35" spans="2:9" x14ac:dyDescent="0.25">
      <c r="B35" s="217" t="s">
        <v>159</v>
      </c>
      <c r="C35" s="217" t="s">
        <v>3</v>
      </c>
      <c r="D35" s="217" t="s">
        <v>4</v>
      </c>
      <c r="E35" s="217" t="s">
        <v>32</v>
      </c>
      <c r="F35" s="217" t="s">
        <v>119</v>
      </c>
      <c r="G35" s="217" t="s">
        <v>162</v>
      </c>
      <c r="H35" s="217" t="s">
        <v>206</v>
      </c>
      <c r="I35" s="217"/>
    </row>
    <row r="36" spans="2:9" ht="30" x14ac:dyDescent="0.25">
      <c r="B36" s="218" t="s">
        <v>198</v>
      </c>
      <c r="C36" s="219">
        <v>4725</v>
      </c>
      <c r="D36" s="219">
        <v>4995</v>
      </c>
      <c r="E36" s="219">
        <v>5494.5</v>
      </c>
      <c r="F36" s="219">
        <v>6043.95</v>
      </c>
      <c r="G36" s="219"/>
      <c r="H36" s="218" t="s">
        <v>207</v>
      </c>
    </row>
    <row r="37" spans="2:9" ht="60" x14ac:dyDescent="0.25">
      <c r="B37" s="218" t="s">
        <v>82</v>
      </c>
      <c r="C37" s="219">
        <v>256702.38</v>
      </c>
      <c r="D37" s="219">
        <v>309487.62</v>
      </c>
      <c r="E37" s="219">
        <v>380359.47</v>
      </c>
      <c r="F37" s="219">
        <v>477440.7</v>
      </c>
      <c r="G37" s="219"/>
      <c r="H37" s="218" t="s">
        <v>208</v>
      </c>
    </row>
    <row r="38" spans="2:9" ht="60" x14ac:dyDescent="0.25">
      <c r="B38" s="218" t="s">
        <v>209</v>
      </c>
      <c r="C38" s="219">
        <v>1200187.6599999999</v>
      </c>
      <c r="D38" s="219">
        <v>1888787.84</v>
      </c>
      <c r="E38" s="219">
        <v>2744437.02</v>
      </c>
      <c r="F38" s="219">
        <v>4028365.44</v>
      </c>
      <c r="G38" s="219">
        <v>5813550.5199999996</v>
      </c>
      <c r="H38" s="218" t="s">
        <v>210</v>
      </c>
    </row>
    <row r="40" spans="2:9" x14ac:dyDescent="0.25">
      <c r="B40" s="223" t="s">
        <v>225</v>
      </c>
      <c r="C40" s="222"/>
      <c r="D40" s="222"/>
      <c r="E40" s="222"/>
      <c r="F40" s="222"/>
      <c r="G40" s="222"/>
      <c r="H40" s="222"/>
      <c r="I40" s="222"/>
    </row>
    <row r="41" spans="2:9" x14ac:dyDescent="0.25">
      <c r="B41" s="222"/>
      <c r="C41" s="222"/>
      <c r="D41" s="222"/>
      <c r="E41" s="222"/>
      <c r="F41" s="222"/>
      <c r="G41" s="222"/>
      <c r="H41" s="222"/>
      <c r="I41" s="222"/>
    </row>
  </sheetData>
  <sheetProtection algorithmName="SHA-512" hashValue="UgVfWbv5DDALO9FntBblt2AOPjlIbv3TcAIEkb1sdc1DaMCxSwvP+ZldhtBUnDTWgppwAkIQtSknm5P0538YvQ==" saltValue="EfR+iyG/vPTrAbeDz60ZYg==" spinCount="100000" sheet="1" objects="1" scenarios="1"/>
  <mergeCells count="13">
    <mergeCell ref="B12:I12"/>
    <mergeCell ref="B2:I2"/>
    <mergeCell ref="B3:I3"/>
    <mergeCell ref="B9:I9"/>
    <mergeCell ref="B10:I10"/>
    <mergeCell ref="B11:I11"/>
    <mergeCell ref="B34:I34"/>
    <mergeCell ref="B40:I41"/>
    <mergeCell ref="B13:I13"/>
    <mergeCell ref="B14:I14"/>
    <mergeCell ref="B15:I15"/>
    <mergeCell ref="B17:I17"/>
    <mergeCell ref="B27:I27"/>
  </mergeCells>
  <pageMargins left="0.25" right="0.2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00AF-EF07-493D-AD19-CF53F03E3A1C}">
  <dimension ref="A1:J17"/>
  <sheetViews>
    <sheetView showGridLines="0" zoomScaleNormal="100" workbookViewId="0"/>
  </sheetViews>
  <sheetFormatPr defaultRowHeight="15" x14ac:dyDescent="0.25"/>
  <cols>
    <col min="1" max="1" width="29.28515625" bestFit="1" customWidth="1"/>
    <col min="2" max="2" width="12.42578125" bestFit="1" customWidth="1"/>
    <col min="3" max="3" width="16.85546875" customWidth="1"/>
    <col min="4" max="4" width="16.42578125" customWidth="1"/>
    <col min="5" max="5" width="13.7109375" bestFit="1" customWidth="1"/>
    <col min="6" max="6" width="16.140625" customWidth="1"/>
    <col min="7" max="7" width="13.85546875" customWidth="1"/>
    <col min="8" max="8" width="12.42578125" bestFit="1" customWidth="1"/>
    <col min="9" max="9" width="14.140625" customWidth="1"/>
    <col min="10" max="10" width="13.85546875" customWidth="1"/>
  </cols>
  <sheetData>
    <row r="1" spans="1:10" s="125" customFormat="1" ht="40.5" customHeight="1" x14ac:dyDescent="0.25">
      <c r="A1" s="194" t="s">
        <v>123</v>
      </c>
      <c r="B1" s="126" t="s">
        <v>124</v>
      </c>
      <c r="C1" s="196" t="s">
        <v>156</v>
      </c>
      <c r="D1" s="195" t="s">
        <v>135</v>
      </c>
      <c r="E1" s="126" t="s">
        <v>125</v>
      </c>
      <c r="F1" s="196" t="s">
        <v>157</v>
      </c>
      <c r="G1" s="195" t="s">
        <v>135</v>
      </c>
      <c r="H1" s="126" t="s">
        <v>126</v>
      </c>
      <c r="I1" s="196" t="s">
        <v>158</v>
      </c>
      <c r="J1" s="195" t="s">
        <v>135</v>
      </c>
    </row>
    <row r="2" spans="1:10" x14ac:dyDescent="0.25">
      <c r="A2" s="185" t="s">
        <v>31</v>
      </c>
      <c r="B2" s="179">
        <f>SUM('Master Budget'!B4:B6)</f>
        <v>4500</v>
      </c>
      <c r="C2" s="171">
        <f>(B2-E2)/E2</f>
        <v>0</v>
      </c>
      <c r="D2" s="172" t="str">
        <f>IF(B2&gt;=E2,"F","U")</f>
        <v>F</v>
      </c>
      <c r="E2" s="179">
        <f>SUM('Master Budget'!B4:B6)</f>
        <v>4500</v>
      </c>
      <c r="F2" s="197">
        <f>(E2-H2)/H2</f>
        <v>-4.7619047619047616E-2</v>
      </c>
      <c r="G2" s="172" t="str">
        <f>IF(E2&gt;=H2,"F","U")</f>
        <v>U</v>
      </c>
      <c r="H2" s="179">
        <f>SUM('Master Budget'!B77:D77)</f>
        <v>4725</v>
      </c>
      <c r="I2" s="171">
        <f>(H2-B2)/B2</f>
        <v>0.05</v>
      </c>
      <c r="J2" s="186" t="str">
        <f>IF(B2&gt;=H2,"F","U")</f>
        <v>U</v>
      </c>
    </row>
    <row r="3" spans="1:10" x14ac:dyDescent="0.25">
      <c r="A3" s="187" t="s">
        <v>127</v>
      </c>
      <c r="B3" s="180">
        <f>'Income Statement'!F8</f>
        <v>925000</v>
      </c>
      <c r="C3" s="173">
        <f t="shared" ref="C3:C11" si="0">(B3-E3)/E3</f>
        <v>6.6666666666666666E-2</v>
      </c>
      <c r="D3" s="174" t="str">
        <f t="shared" ref="D3:D11" si="1">IF(B3&gt;=E3,"F","U")</f>
        <v>F</v>
      </c>
      <c r="E3" s="180">
        <f>'Forecasted Budget'!G4</f>
        <v>867187.5</v>
      </c>
      <c r="F3" s="198">
        <f t="shared" ref="F3:F11" si="2">(E3-H3)/H3</f>
        <v>-0.10714285714285704</v>
      </c>
      <c r="G3" s="174" t="str">
        <f t="shared" ref="G3:G11" si="3">IF(E3&gt;=H3,"F","U")</f>
        <v>U</v>
      </c>
      <c r="H3" s="180">
        <f>(B3/B2)*H2</f>
        <v>971249.99999999988</v>
      </c>
      <c r="I3" s="173">
        <f t="shared" ref="I3:I11" si="4">(H3-B3)/B3</f>
        <v>4.9999999999999871E-2</v>
      </c>
      <c r="J3" s="188" t="str">
        <f t="shared" ref="J3:J11" si="5">IF(B3&gt;=H3,"F","U")</f>
        <v>U</v>
      </c>
    </row>
    <row r="4" spans="1:10" x14ac:dyDescent="0.25">
      <c r="A4" s="189" t="s">
        <v>128</v>
      </c>
      <c r="B4" s="179"/>
      <c r="C4" s="171"/>
      <c r="D4" s="172"/>
      <c r="E4" s="184"/>
      <c r="F4" s="197"/>
      <c r="G4" s="172"/>
      <c r="H4" s="179"/>
      <c r="I4" s="171"/>
      <c r="J4" s="186"/>
    </row>
    <row r="5" spans="1:10" x14ac:dyDescent="0.25">
      <c r="A5" s="190" t="s">
        <v>129</v>
      </c>
      <c r="B5" s="181">
        <f>'Master Budget'!D30+'Master Budget'!D45-475</f>
        <v>99202.8125</v>
      </c>
      <c r="C5" s="171">
        <f t="shared" si="0"/>
        <v>0.24706548793825189</v>
      </c>
      <c r="D5" s="172" t="str">
        <f>IF(B5&lt;=E5,"F","U")</f>
        <v>U</v>
      </c>
      <c r="E5" s="181">
        <v>79549</v>
      </c>
      <c r="F5" s="197">
        <f t="shared" si="2"/>
        <v>4.3708990763427751E-3</v>
      </c>
      <c r="G5" s="172" t="str">
        <f>IF(E5&lt;=H5,"F","U")</f>
        <v>U</v>
      </c>
      <c r="H5" s="181">
        <v>79202.8125</v>
      </c>
      <c r="I5" s="171">
        <f t="shared" si="4"/>
        <v>-0.20160718729622712</v>
      </c>
      <c r="J5" s="186" t="str">
        <f>IF(B5&lt;=H5,"F","U")</f>
        <v>U</v>
      </c>
    </row>
    <row r="6" spans="1:10" x14ac:dyDescent="0.25">
      <c r="A6" s="190" t="s">
        <v>130</v>
      </c>
      <c r="B6" s="181">
        <f>'Master Budget'!D56</f>
        <v>157500</v>
      </c>
      <c r="C6" s="171">
        <f t="shared" si="0"/>
        <v>0.2658533056854897</v>
      </c>
      <c r="D6" s="172" t="str">
        <f t="shared" ref="D6:D7" si="6">IF(B6&lt;=E6,"F","U")</f>
        <v>U</v>
      </c>
      <c r="E6" s="181">
        <v>124422</v>
      </c>
      <c r="F6" s="197">
        <f t="shared" si="2"/>
        <v>-9.5112727272727279E-2</v>
      </c>
      <c r="G6" s="172" t="str">
        <f t="shared" ref="G6:G7" si="7">IF(E6&lt;=H6,"F","U")</f>
        <v>F</v>
      </c>
      <c r="H6" s="181">
        <v>137500</v>
      </c>
      <c r="I6" s="171">
        <f t="shared" si="4"/>
        <v>-0.12698412698412698</v>
      </c>
      <c r="J6" s="186" t="str">
        <f t="shared" ref="J6:J7" si="8">IF(B6&lt;=H6,"F","U")</f>
        <v>U</v>
      </c>
    </row>
    <row r="7" spans="1:10" x14ac:dyDescent="0.25">
      <c r="A7" s="190" t="s">
        <v>131</v>
      </c>
      <c r="B7" s="181">
        <f>'Master Budget'!D65</f>
        <v>24000</v>
      </c>
      <c r="C7" s="171">
        <f t="shared" si="0"/>
        <v>-0.4</v>
      </c>
      <c r="D7" s="172" t="str">
        <f t="shared" si="6"/>
        <v>F</v>
      </c>
      <c r="E7" s="181">
        <v>40000</v>
      </c>
      <c r="F7" s="197">
        <f t="shared" si="2"/>
        <v>0.1111111111111111</v>
      </c>
      <c r="G7" s="172" t="str">
        <f t="shared" si="7"/>
        <v>U</v>
      </c>
      <c r="H7" s="181">
        <v>36000</v>
      </c>
      <c r="I7" s="171">
        <f t="shared" si="4"/>
        <v>0.5</v>
      </c>
      <c r="J7" s="186" t="str">
        <f t="shared" si="8"/>
        <v>F</v>
      </c>
    </row>
    <row r="8" spans="1:10" x14ac:dyDescent="0.25">
      <c r="A8" s="191" t="s">
        <v>132</v>
      </c>
      <c r="B8" s="182">
        <f>SUM(B5:B7)</f>
        <v>280702.8125</v>
      </c>
      <c r="C8" s="175">
        <f t="shared" si="0"/>
        <v>0.15055810936545738</v>
      </c>
      <c r="D8" s="176" t="str">
        <f>IF(B8&lt;=E8,"F","U")</f>
        <v>U</v>
      </c>
      <c r="E8" s="182">
        <f t="shared" ref="E8:H8" si="9">SUM(E5:E7)</f>
        <v>243971</v>
      </c>
      <c r="F8" s="199">
        <f t="shared" si="2"/>
        <v>-3.4553681510766723E-2</v>
      </c>
      <c r="G8" s="176" t="str">
        <f>IF(E8&lt;=H8,"F","U")</f>
        <v>F</v>
      </c>
      <c r="H8" s="182">
        <f t="shared" si="9"/>
        <v>252702.8125</v>
      </c>
      <c r="I8" s="175">
        <f t="shared" si="4"/>
        <v>-9.974962399067519E-2</v>
      </c>
      <c r="J8" s="192" t="str">
        <f>IF(B8&lt;=H8,"F","U")</f>
        <v>U</v>
      </c>
    </row>
    <row r="9" spans="1:10" x14ac:dyDescent="0.25">
      <c r="A9" s="187" t="s">
        <v>155</v>
      </c>
      <c r="B9" s="183">
        <f>B3-B8</f>
        <v>644297.1875</v>
      </c>
      <c r="C9" s="173">
        <f t="shared" si="0"/>
        <v>3.3825624802937666E-2</v>
      </c>
      <c r="D9" s="174" t="str">
        <f t="shared" si="1"/>
        <v>F</v>
      </c>
      <c r="E9" s="183">
        <f t="shared" ref="E9:H9" si="10">E3-E8</f>
        <v>623216.5</v>
      </c>
      <c r="F9" s="198">
        <f t="shared" si="2"/>
        <v>-0.13267143641836313</v>
      </c>
      <c r="G9" s="174" t="str">
        <f t="shared" si="3"/>
        <v>U</v>
      </c>
      <c r="H9" s="183">
        <f t="shared" si="10"/>
        <v>718547.18749999988</v>
      </c>
      <c r="I9" s="173">
        <f t="shared" si="4"/>
        <v>0.11524185025252789</v>
      </c>
      <c r="J9" s="188" t="str">
        <f t="shared" si="5"/>
        <v>U</v>
      </c>
    </row>
    <row r="10" spans="1:10" x14ac:dyDescent="0.25">
      <c r="A10" s="189" t="s">
        <v>133</v>
      </c>
      <c r="B10" s="181">
        <f>'Master Budget'!B65</f>
        <v>40000</v>
      </c>
      <c r="C10" s="171">
        <f t="shared" si="0"/>
        <v>-0.40520446096654272</v>
      </c>
      <c r="D10" s="172" t="str">
        <f>IF(B10&lt;=E10,"F","U")</f>
        <v>F</v>
      </c>
      <c r="E10" s="181">
        <v>67250</v>
      </c>
      <c r="F10" s="197">
        <f t="shared" si="2"/>
        <v>3.4615384615384617E-2</v>
      </c>
      <c r="G10" s="172" t="str">
        <f>IF(E10&lt;=H10,"F","U")</f>
        <v>U</v>
      </c>
      <c r="H10" s="181">
        <v>65000</v>
      </c>
      <c r="I10" s="171">
        <f t="shared" si="4"/>
        <v>0.625</v>
      </c>
      <c r="J10" s="186" t="str">
        <f>IF(B10&lt;=H10,"F","U")</f>
        <v>F</v>
      </c>
    </row>
    <row r="11" spans="1:10" x14ac:dyDescent="0.25">
      <c r="A11" s="193" t="s">
        <v>134</v>
      </c>
      <c r="B11" s="183">
        <f>B9-B10</f>
        <v>604297.1875</v>
      </c>
      <c r="C11" s="173">
        <f t="shared" si="0"/>
        <v>8.693093468761158E-2</v>
      </c>
      <c r="D11" s="174" t="str">
        <f t="shared" si="1"/>
        <v>F</v>
      </c>
      <c r="E11" s="183">
        <f>E9-E10</f>
        <v>555966.5</v>
      </c>
      <c r="F11" s="198">
        <f t="shared" si="2"/>
        <v>-0.14930932206023748</v>
      </c>
      <c r="G11" s="174" t="str">
        <f t="shared" si="3"/>
        <v>U</v>
      </c>
      <c r="H11" s="183">
        <f>H9-H10</f>
        <v>653547.18749999988</v>
      </c>
      <c r="I11" s="173">
        <f t="shared" si="4"/>
        <v>8.1499634647893976E-2</v>
      </c>
      <c r="J11" s="188" t="str">
        <f t="shared" si="5"/>
        <v>U</v>
      </c>
    </row>
    <row r="13" spans="1:10" x14ac:dyDescent="0.25">
      <c r="B13" s="15"/>
      <c r="C13" s="15"/>
      <c r="D13" s="15"/>
      <c r="H13" s="146"/>
      <c r="J13" s="15"/>
    </row>
    <row r="14" spans="1:10" x14ac:dyDescent="0.25">
      <c r="B14" s="15"/>
      <c r="E14" s="178"/>
    </row>
    <row r="15" spans="1:10" x14ac:dyDescent="0.25">
      <c r="B15" s="144"/>
      <c r="C15" s="144"/>
    </row>
    <row r="16" spans="1:10" x14ac:dyDescent="0.25">
      <c r="B16" s="145"/>
      <c r="E16" s="15"/>
    </row>
    <row r="17" spans="2:3" x14ac:dyDescent="0.25">
      <c r="B17" s="145"/>
      <c r="C17" s="15"/>
    </row>
  </sheetData>
  <sheetProtection algorithmName="SHA-512" hashValue="Omjk7ZGDtGZVHW3qeDvRzy0tCZ0jQmXv3svO5lIZiW/o9HZFxhrwIv0DUZq772Jt/h/I8yb64BgEtfcuORqGxw==" saltValue="CHYnhmfH3sdX/wSurAlZaA==" spinCount="100000" sheet="1" objects="1" scenarios="1"/>
  <conditionalFormatting sqref="D2:D11 J2:J11">
    <cfRule type="containsText" dxfId="8" priority="5" operator="containsText" text="U">
      <formula>NOT(ISERROR(SEARCH("U",D2)))</formula>
    </cfRule>
    <cfRule type="containsText" dxfId="7" priority="6" operator="containsText" text="F">
      <formula>NOT(ISERROR(SEARCH("F",D2)))</formula>
    </cfRule>
  </conditionalFormatting>
  <conditionalFormatting sqref="G2:G11">
    <cfRule type="containsText" dxfId="6" priority="1" operator="containsText" text="U">
      <formula>NOT(ISERROR(SEARCH("U",G2)))</formula>
    </cfRule>
    <cfRule type="containsText" dxfId="5" priority="2" operator="containsText" text="F">
      <formula>NOT(ISERROR(SEARCH("F",G2)))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4EF0-7CBD-4D39-93DA-1963370381DF}">
  <dimension ref="B1:P16"/>
  <sheetViews>
    <sheetView showGridLines="0" zoomScale="84" zoomScaleNormal="84" workbookViewId="0"/>
  </sheetViews>
  <sheetFormatPr defaultRowHeight="18.75" x14ac:dyDescent="0.3"/>
  <cols>
    <col min="1" max="1" width="2.5703125" style="127" customWidth="1"/>
    <col min="2" max="2" width="30.140625" style="127" customWidth="1"/>
    <col min="3" max="6" width="15.85546875" style="127" bestFit="1" customWidth="1"/>
    <col min="7" max="7" width="13.5703125" style="127" customWidth="1"/>
    <col min="8" max="8" width="17" style="127" bestFit="1" customWidth="1"/>
    <col min="9" max="9" width="2.5703125" style="127" customWidth="1"/>
    <col min="10" max="10" width="29.140625" style="127" bestFit="1" customWidth="1"/>
    <col min="11" max="14" width="15.85546875" style="127" bestFit="1" customWidth="1"/>
    <col min="15" max="15" width="14.5703125" style="127" customWidth="1"/>
    <col min="16" max="16" width="15" style="127" bestFit="1" customWidth="1"/>
    <col min="17" max="16384" width="9.140625" style="127"/>
  </cols>
  <sheetData>
    <row r="1" spans="2:16" x14ac:dyDescent="0.3">
      <c r="B1" s="132" t="s">
        <v>143</v>
      </c>
      <c r="C1"/>
      <c r="D1"/>
      <c r="E1"/>
      <c r="F1"/>
      <c r="G1"/>
      <c r="H1"/>
      <c r="J1" s="132" t="s">
        <v>143</v>
      </c>
      <c r="K1"/>
      <c r="L1"/>
      <c r="M1"/>
      <c r="N1"/>
    </row>
    <row r="2" spans="2:16" x14ac:dyDescent="0.3">
      <c r="B2" s="169"/>
      <c r="C2"/>
      <c r="D2"/>
      <c r="E2"/>
      <c r="F2"/>
      <c r="G2"/>
      <c r="H2"/>
      <c r="J2" s="169"/>
      <c r="K2"/>
      <c r="L2"/>
      <c r="M2"/>
      <c r="N2"/>
    </row>
    <row r="3" spans="2:16" x14ac:dyDescent="0.3">
      <c r="B3" s="220" t="s">
        <v>154</v>
      </c>
      <c r="C3"/>
      <c r="D3"/>
      <c r="E3"/>
      <c r="F3"/>
      <c r="G3"/>
      <c r="H3"/>
      <c r="I3"/>
      <c r="J3"/>
      <c r="K3"/>
      <c r="L3"/>
      <c r="M3"/>
      <c r="N3"/>
    </row>
    <row r="4" spans="2:16" x14ac:dyDescent="0.3">
      <c r="B4" s="170">
        <v>46112</v>
      </c>
      <c r="C4" s="232" t="s">
        <v>147</v>
      </c>
      <c r="D4" s="233"/>
      <c r="E4" s="233"/>
      <c r="F4" s="233"/>
      <c r="G4" s="233"/>
      <c r="H4" s="234"/>
      <c r="J4" s="229" t="s">
        <v>148</v>
      </c>
      <c r="K4" s="230"/>
      <c r="L4" s="230"/>
      <c r="M4" s="230"/>
      <c r="N4" s="230"/>
      <c r="O4" s="230"/>
      <c r="P4" s="231"/>
    </row>
    <row r="5" spans="2:16" x14ac:dyDescent="0.3">
      <c r="B5" s="149" t="s">
        <v>98</v>
      </c>
      <c r="C5" s="227" t="s">
        <v>136</v>
      </c>
      <c r="D5" s="228"/>
      <c r="E5" s="227" t="s">
        <v>149</v>
      </c>
      <c r="F5" s="228"/>
      <c r="G5" s="227" t="s">
        <v>152</v>
      </c>
      <c r="H5" s="228"/>
      <c r="J5" s="149" t="s">
        <v>98</v>
      </c>
      <c r="K5" s="227" t="s">
        <v>136</v>
      </c>
      <c r="L5" s="228"/>
      <c r="M5" s="227" t="s">
        <v>149</v>
      </c>
      <c r="N5" s="228"/>
      <c r="O5" s="227" t="s">
        <v>152</v>
      </c>
      <c r="P5" s="228"/>
    </row>
    <row r="6" spans="2:16" x14ac:dyDescent="0.3">
      <c r="B6" s="149"/>
      <c r="C6" s="150" t="s">
        <v>150</v>
      </c>
      <c r="D6" s="150" t="s">
        <v>151</v>
      </c>
      <c r="E6" s="150" t="s">
        <v>150</v>
      </c>
      <c r="F6" s="150" t="s">
        <v>151</v>
      </c>
      <c r="G6" s="150" t="s">
        <v>150</v>
      </c>
      <c r="H6" s="168" t="s">
        <v>153</v>
      </c>
      <c r="J6" s="149"/>
      <c r="K6" s="150" t="s">
        <v>150</v>
      </c>
      <c r="L6" s="150" t="s">
        <v>151</v>
      </c>
      <c r="M6" s="150" t="s">
        <v>150</v>
      </c>
      <c r="N6" s="150" t="s">
        <v>151</v>
      </c>
      <c r="O6" s="150" t="s">
        <v>150</v>
      </c>
      <c r="P6" s="168" t="s">
        <v>153</v>
      </c>
    </row>
    <row r="7" spans="2:16" x14ac:dyDescent="0.3">
      <c r="B7" s="128" t="s">
        <v>81</v>
      </c>
      <c r="C7" s="133">
        <f>HLOOKUP($B$4,Actuals!$B$3:$G$13,2,FALSE)</f>
        <v>185000</v>
      </c>
      <c r="D7" s="133"/>
      <c r="E7" s="133">
        <f>HLOOKUP($B$4,'Forecasted Budget'!$B$3:$G$13,2,FALSE)</f>
        <v>175750</v>
      </c>
      <c r="F7" s="134"/>
      <c r="G7" s="134">
        <f>C7-E7</f>
        <v>9250</v>
      </c>
      <c r="H7" s="164">
        <f>G7/E7</f>
        <v>5.2631578947368418E-2</v>
      </c>
      <c r="I7" s="135"/>
      <c r="J7" s="128" t="s">
        <v>81</v>
      </c>
      <c r="K7" s="133">
        <f>HLOOKUP($B$4,Actuals!$I$3:$M$13,2,FALSE)</f>
        <v>185000</v>
      </c>
      <c r="L7" s="133"/>
      <c r="M7" s="133">
        <f>HLOOKUP($B$4,'Forecasted Budget'!$I$3:$M$13,2,FALSE)</f>
        <v>175750</v>
      </c>
      <c r="N7" s="134"/>
      <c r="O7" s="134">
        <f>K7-M7</f>
        <v>9250</v>
      </c>
      <c r="P7" s="164">
        <f>O7/M7</f>
        <v>5.2631578947368418E-2</v>
      </c>
    </row>
    <row r="8" spans="2:16" x14ac:dyDescent="0.3">
      <c r="B8" s="129" t="s">
        <v>82</v>
      </c>
      <c r="C8" s="136">
        <f>HLOOKUP($B$4,Actuals!$B$3:$G$13,3,FALSE)</f>
        <v>51340.476190476191</v>
      </c>
      <c r="D8" s="157">
        <f>C8/$C$7</f>
        <v>0.27751608751608753</v>
      </c>
      <c r="E8" s="136">
        <f>HLOOKUP($B$4,'Forecasted Budget'!$B$3:$G$13,3,FALSE)</f>
        <v>41072.380952380954</v>
      </c>
      <c r="F8" s="162">
        <f>E8/$E$7</f>
        <v>0.23369775790828423</v>
      </c>
      <c r="G8" s="137">
        <f t="shared" ref="G8:G16" si="0">C8-E8</f>
        <v>10268.095238095237</v>
      </c>
      <c r="H8" s="162">
        <f t="shared" ref="H8:H16" si="1">G8/E8</f>
        <v>0.24999999999999994</v>
      </c>
      <c r="I8" s="135"/>
      <c r="J8" s="129" t="s">
        <v>82</v>
      </c>
      <c r="K8" s="136">
        <f>HLOOKUP($B$4,Actuals!$I$3:$M$13,3,FALSE)</f>
        <v>51340.476190476191</v>
      </c>
      <c r="L8" s="157">
        <f>K8/$K$7</f>
        <v>0.27751608751608753</v>
      </c>
      <c r="M8" s="136">
        <f>HLOOKUP($B$4,'Forecasted Budget'!$I$3:$M$13,3,FALSE)</f>
        <v>41072.380952380954</v>
      </c>
      <c r="N8" s="162">
        <f>M8/$M$7</f>
        <v>0.23369775790828423</v>
      </c>
      <c r="O8" s="137">
        <f t="shared" ref="O8:O16" si="2">K8-M8</f>
        <v>10268.095238095237</v>
      </c>
      <c r="P8" s="162">
        <f t="shared" ref="P8:P16" si="3">O8/M8</f>
        <v>0.24999999999999994</v>
      </c>
    </row>
    <row r="9" spans="2:16" x14ac:dyDescent="0.3">
      <c r="B9" s="131" t="s">
        <v>83</v>
      </c>
      <c r="C9" s="140">
        <f>C7-C8</f>
        <v>133659.52380952382</v>
      </c>
      <c r="D9" s="158">
        <f t="shared" ref="D9:D16" si="4">C9/$C$7</f>
        <v>0.72248391248391253</v>
      </c>
      <c r="E9" s="140">
        <f t="shared" ref="E9" si="5">E7-E8</f>
        <v>134677.61904761905</v>
      </c>
      <c r="F9" s="163">
        <f t="shared" ref="F9:F16" si="6">E9/$E$7</f>
        <v>0.76630224209171582</v>
      </c>
      <c r="G9" s="141">
        <f t="shared" si="0"/>
        <v>-1018.0952380952367</v>
      </c>
      <c r="H9" s="163">
        <f t="shared" si="1"/>
        <v>-7.5594983434869052E-3</v>
      </c>
      <c r="I9" s="135"/>
      <c r="J9" s="131" t="s">
        <v>83</v>
      </c>
      <c r="K9" s="140">
        <f>K7-K8</f>
        <v>133659.52380952382</v>
      </c>
      <c r="L9" s="158">
        <f t="shared" ref="L9:L16" si="7">K9/$K$7</f>
        <v>0.72248391248391253</v>
      </c>
      <c r="M9" s="140">
        <f t="shared" ref="M9" si="8">M7-M8</f>
        <v>134677.61904761905</v>
      </c>
      <c r="N9" s="163">
        <f t="shared" ref="N9:N16" si="9">M9/$M$7</f>
        <v>0.76630224209171582</v>
      </c>
      <c r="O9" s="141">
        <f t="shared" si="2"/>
        <v>-1018.0952380952367</v>
      </c>
      <c r="P9" s="163">
        <f t="shared" si="3"/>
        <v>-7.5594983434869052E-3</v>
      </c>
    </row>
    <row r="10" spans="2:16" x14ac:dyDescent="0.3">
      <c r="B10" s="129" t="s">
        <v>139</v>
      </c>
      <c r="C10" s="136">
        <f>HLOOKUP($B$4,Actuals!$B$3:$G$13,5,FALSE)</f>
        <v>8750</v>
      </c>
      <c r="D10" s="157">
        <f t="shared" si="4"/>
        <v>4.72972972972973E-2</v>
      </c>
      <c r="E10" s="136">
        <f>HLOOKUP($B$4,'Forecasted Budget'!$B$3:$G$13,5,FALSE)</f>
        <v>9275</v>
      </c>
      <c r="F10" s="162">
        <f t="shared" si="6"/>
        <v>5.2773826458036986E-2</v>
      </c>
      <c r="G10" s="137">
        <f t="shared" si="0"/>
        <v>-525</v>
      </c>
      <c r="H10" s="162">
        <f t="shared" si="1"/>
        <v>-5.6603773584905662E-2</v>
      </c>
      <c r="I10" s="135"/>
      <c r="J10" s="129" t="s">
        <v>139</v>
      </c>
      <c r="K10" s="136">
        <f>HLOOKUP($B$4,Actuals!$I$3:$M$13,5,FALSE)</f>
        <v>8750</v>
      </c>
      <c r="L10" s="157">
        <f t="shared" si="7"/>
        <v>4.72972972972973E-2</v>
      </c>
      <c r="M10" s="136">
        <f>HLOOKUP($B$4,'Forecasted Budget'!$I$3:$M$13,5,FALSE)</f>
        <v>9275</v>
      </c>
      <c r="N10" s="162">
        <f t="shared" si="9"/>
        <v>5.2773826458036986E-2</v>
      </c>
      <c r="O10" s="137">
        <f t="shared" si="2"/>
        <v>-525</v>
      </c>
      <c r="P10" s="162">
        <f t="shared" si="3"/>
        <v>-5.6603773584905662E-2</v>
      </c>
    </row>
    <row r="11" spans="2:16" x14ac:dyDescent="0.3">
      <c r="B11" s="129" t="s">
        <v>145</v>
      </c>
      <c r="C11" s="136">
        <f>HLOOKUP($B$4,Actuals!$B$3:$G$13,6,FALSE)</f>
        <v>5500</v>
      </c>
      <c r="D11" s="157">
        <f t="shared" si="4"/>
        <v>2.9729729729729731E-2</v>
      </c>
      <c r="E11" s="136">
        <f>HLOOKUP($B$4,'Forecasted Budget'!$B$3:$G$13,6,FALSE)</f>
        <v>7150</v>
      </c>
      <c r="F11" s="162">
        <f t="shared" si="6"/>
        <v>4.0682788051209104E-2</v>
      </c>
      <c r="G11" s="137">
        <f t="shared" si="0"/>
        <v>-1650</v>
      </c>
      <c r="H11" s="162">
        <f t="shared" si="1"/>
        <v>-0.23076923076923078</v>
      </c>
      <c r="I11" s="135"/>
      <c r="J11" s="129" t="s">
        <v>145</v>
      </c>
      <c r="K11" s="136">
        <f>HLOOKUP($B$4,Actuals!$I$3:$M$13,6,FALSE)</f>
        <v>5500</v>
      </c>
      <c r="L11" s="157">
        <f t="shared" si="7"/>
        <v>2.9729729729729731E-2</v>
      </c>
      <c r="M11" s="136">
        <f>HLOOKUP($B$4,'Forecasted Budget'!$I$3:$M$13,6,FALSE)</f>
        <v>7150</v>
      </c>
      <c r="N11" s="162">
        <f t="shared" si="9"/>
        <v>4.0682788051209104E-2</v>
      </c>
      <c r="O11" s="137">
        <f t="shared" si="2"/>
        <v>-1650</v>
      </c>
      <c r="P11" s="162">
        <f t="shared" si="3"/>
        <v>-0.23076923076923078</v>
      </c>
    </row>
    <row r="12" spans="2:16" x14ac:dyDescent="0.3">
      <c r="B12" s="129" t="s">
        <v>140</v>
      </c>
      <c r="C12" s="136">
        <f>HLOOKUP($B$4,Actuals!$B$3:$G$13,7,FALSE)</f>
        <v>1250</v>
      </c>
      <c r="D12" s="157">
        <f t="shared" si="4"/>
        <v>6.7567567567567571E-3</v>
      </c>
      <c r="E12" s="136">
        <f>HLOOKUP($B$4,'Forecasted Budget'!$B$3:$G$13,7,FALSE)</f>
        <v>1287.5</v>
      </c>
      <c r="F12" s="162">
        <f t="shared" si="6"/>
        <v>7.3257467994310103E-3</v>
      </c>
      <c r="G12" s="137">
        <f t="shared" si="0"/>
        <v>-37.5</v>
      </c>
      <c r="H12" s="162">
        <f t="shared" si="1"/>
        <v>-2.9126213592233011E-2</v>
      </c>
      <c r="I12" s="135"/>
      <c r="J12" s="129" t="s">
        <v>140</v>
      </c>
      <c r="K12" s="136">
        <f>HLOOKUP($B$4,Actuals!$I$3:$M$13,7,FALSE)</f>
        <v>1250</v>
      </c>
      <c r="L12" s="157">
        <f t="shared" si="7"/>
        <v>6.7567567567567571E-3</v>
      </c>
      <c r="M12" s="136">
        <f>HLOOKUP($B$4,'Forecasted Budget'!$I$3:$M$13,7,FALSE)</f>
        <v>1287.5</v>
      </c>
      <c r="N12" s="162">
        <f t="shared" si="9"/>
        <v>7.3257467994310103E-3</v>
      </c>
      <c r="O12" s="137">
        <f t="shared" si="2"/>
        <v>-37.5</v>
      </c>
      <c r="P12" s="162">
        <f t="shared" si="3"/>
        <v>-2.9126213592233011E-2</v>
      </c>
    </row>
    <row r="13" spans="2:16" x14ac:dyDescent="0.3">
      <c r="B13" s="129" t="s">
        <v>108</v>
      </c>
      <c r="C13" s="136">
        <f>HLOOKUP($B$4,Actuals!$B$3:$G$13,8,FALSE)</f>
        <v>500</v>
      </c>
      <c r="D13" s="157">
        <f t="shared" si="4"/>
        <v>2.7027027027027029E-3</v>
      </c>
      <c r="E13" s="136">
        <f>HLOOKUP($B$4,'Forecasted Budget'!$B$3:$G$13,8,FALSE)</f>
        <v>560</v>
      </c>
      <c r="F13" s="162">
        <f t="shared" si="6"/>
        <v>3.1863442389758181E-3</v>
      </c>
      <c r="G13" s="137">
        <f t="shared" si="0"/>
        <v>-60</v>
      </c>
      <c r="H13" s="162">
        <f t="shared" si="1"/>
        <v>-0.10714285714285714</v>
      </c>
      <c r="I13" s="135"/>
      <c r="J13" s="129" t="s">
        <v>108</v>
      </c>
      <c r="K13" s="136">
        <f>HLOOKUP($B$4,Actuals!$I$3:$M$13,8,FALSE)</f>
        <v>500</v>
      </c>
      <c r="L13" s="157">
        <f t="shared" si="7"/>
        <v>2.7027027027027029E-3</v>
      </c>
      <c r="M13" s="136">
        <f>HLOOKUP($B$4,'Forecasted Budget'!$I$3:$M$13,8,FALSE)</f>
        <v>560</v>
      </c>
      <c r="N13" s="162">
        <f t="shared" si="9"/>
        <v>3.1863442389758181E-3</v>
      </c>
      <c r="O13" s="137">
        <f t="shared" si="2"/>
        <v>-60</v>
      </c>
      <c r="P13" s="162">
        <f t="shared" si="3"/>
        <v>-0.10714285714285714</v>
      </c>
    </row>
    <row r="14" spans="2:16" x14ac:dyDescent="0.3">
      <c r="B14" s="128" t="s">
        <v>141</v>
      </c>
      <c r="C14" s="133">
        <f>C9-SUM(C10:C13)</f>
        <v>117659.52380952382</v>
      </c>
      <c r="D14" s="159">
        <f t="shared" si="4"/>
        <v>0.63599742599742604</v>
      </c>
      <c r="E14" s="133">
        <f>E9-SUM(E10:E13)</f>
        <v>116405.11904761905</v>
      </c>
      <c r="F14" s="164">
        <f t="shared" si="6"/>
        <v>0.66233353654406291</v>
      </c>
      <c r="G14" s="134">
        <f t="shared" si="0"/>
        <v>1254.4047619047633</v>
      </c>
      <c r="H14" s="164">
        <f t="shared" si="1"/>
        <v>1.0776199295768178E-2</v>
      </c>
      <c r="I14" s="135"/>
      <c r="J14" s="128" t="s">
        <v>141</v>
      </c>
      <c r="K14" s="133">
        <f>K9-SUM(K10:K13)</f>
        <v>117659.52380952382</v>
      </c>
      <c r="L14" s="159">
        <f t="shared" si="7"/>
        <v>0.63599742599742604</v>
      </c>
      <c r="M14" s="133">
        <f>M9-SUM(M10:M13)</f>
        <v>116405.11904761905</v>
      </c>
      <c r="N14" s="164">
        <f t="shared" si="9"/>
        <v>0.66233353654406291</v>
      </c>
      <c r="O14" s="134">
        <f t="shared" si="2"/>
        <v>1254.4047619047633</v>
      </c>
      <c r="P14" s="164">
        <f t="shared" si="3"/>
        <v>1.0776199295768178E-2</v>
      </c>
    </row>
    <row r="15" spans="2:16" x14ac:dyDescent="0.3">
      <c r="B15" s="130" t="s">
        <v>92</v>
      </c>
      <c r="C15" s="142">
        <f>HLOOKUP($B$4,Actuals!$B$3:$G$13,10,FALSE)</f>
        <v>23531.904761904763</v>
      </c>
      <c r="D15" s="160">
        <f t="shared" si="4"/>
        <v>0.12719948519948521</v>
      </c>
      <c r="E15" s="142">
        <f>HLOOKUP($B$4,'Forecasted Budget'!$B$3:$G$13,10,FALSE)</f>
        <v>37180.409523809525</v>
      </c>
      <c r="F15" s="166">
        <f t="shared" si="6"/>
        <v>0.21155282801598591</v>
      </c>
      <c r="G15" s="137">
        <f t="shared" si="0"/>
        <v>-13648.504761904762</v>
      </c>
      <c r="H15" s="162">
        <f t="shared" si="1"/>
        <v>-0.36708860759493667</v>
      </c>
      <c r="I15" s="135"/>
      <c r="J15" s="130" t="s">
        <v>92</v>
      </c>
      <c r="K15" s="142">
        <f>HLOOKUP($B$4,Actuals!$I$3:$M$13,10,FALSE)</f>
        <v>23531.904761904763</v>
      </c>
      <c r="L15" s="160">
        <f t="shared" si="7"/>
        <v>0.12719948519948521</v>
      </c>
      <c r="M15" s="142">
        <f>HLOOKUP($B$4,'Forecasted Budget'!$I$3:$M$13,10,FALSE)</f>
        <v>37180.409523809525</v>
      </c>
      <c r="N15" s="166">
        <f t="shared" si="9"/>
        <v>0.21155282801598591</v>
      </c>
      <c r="O15" s="137">
        <f t="shared" si="2"/>
        <v>-13648.504761904762</v>
      </c>
      <c r="P15" s="162">
        <f t="shared" si="3"/>
        <v>-0.36708860759493667</v>
      </c>
    </row>
    <row r="16" spans="2:16" x14ac:dyDescent="0.3">
      <c r="B16" s="151" t="s">
        <v>142</v>
      </c>
      <c r="C16" s="154">
        <f t="shared" ref="C16:E16" si="10">C14-C15</f>
        <v>94127.619047619053</v>
      </c>
      <c r="D16" s="161">
        <f t="shared" si="4"/>
        <v>0.50879794079794083</v>
      </c>
      <c r="E16" s="152">
        <f t="shared" si="10"/>
        <v>79224.709523809521</v>
      </c>
      <c r="F16" s="167">
        <f t="shared" si="6"/>
        <v>0.45078070852807695</v>
      </c>
      <c r="G16" s="153">
        <f t="shared" si="0"/>
        <v>14902.909523809532</v>
      </c>
      <c r="H16" s="165">
        <f t="shared" si="1"/>
        <v>0.18810936150331656</v>
      </c>
      <c r="I16" s="135"/>
      <c r="J16" s="151" t="s">
        <v>142</v>
      </c>
      <c r="K16" s="154">
        <f t="shared" ref="K16" si="11">K14-K15</f>
        <v>94127.619047619053</v>
      </c>
      <c r="L16" s="161">
        <f t="shared" si="7"/>
        <v>0.50879794079794083</v>
      </c>
      <c r="M16" s="152">
        <f t="shared" ref="M16" si="12">M14-M15</f>
        <v>79224.709523809521</v>
      </c>
      <c r="N16" s="167">
        <f t="shared" si="9"/>
        <v>0.45078070852807695</v>
      </c>
      <c r="O16" s="153">
        <f t="shared" si="2"/>
        <v>14902.909523809532</v>
      </c>
      <c r="P16" s="165">
        <f t="shared" si="3"/>
        <v>0.18810936150331656</v>
      </c>
    </row>
  </sheetData>
  <sheetProtection algorithmName="SHA-512" hashValue="RFzsh/xsKc3WXAZKQoUQ/wYfXGi7WSjTMUe4Kt+EFuYO90Qc82DG/i9aktZ8FuM7wAwdDPtDO3EqQeBktTTmYA==" saltValue="GsnurTVWVyC6VhsX9hytPw==" spinCount="100000" sheet="1" objects="1" scenarios="1"/>
  <mergeCells count="8">
    <mergeCell ref="M5:N5"/>
    <mergeCell ref="O5:P5"/>
    <mergeCell ref="J4:P4"/>
    <mergeCell ref="C4:H4"/>
    <mergeCell ref="C5:D5"/>
    <mergeCell ref="E5:F5"/>
    <mergeCell ref="G5:H5"/>
    <mergeCell ref="K5:L5"/>
  </mergeCells>
  <conditionalFormatting sqref="H7:H16 P7:P16">
    <cfRule type="cellIs" dxfId="4" priority="1" operator="equal">
      <formula>0</formula>
    </cfRule>
    <cfRule type="expression" dxfId="3" priority="2">
      <formula>AND(OR($B7="COGS",$B7="Employee Expenses",$B7="Factory &amp; Equipments",$B7="Depreciation Expenses",$B7="Other Expenses",$B7="Tax"),G7&lt;0)</formula>
    </cfRule>
    <cfRule type="expression" dxfId="2" priority="3">
      <formula>AND(OR($B7="COGS",$B7="Employee Expenses",$B7="Factory &amp; Equipments",$B7="Depreciation Expenses",$B7="Other Expenses",$B7="Tax"),G7&gt;0)</formula>
    </cfRule>
    <cfRule type="expression" dxfId="1" priority="4">
      <formula>AND(OR($B7="Revenue",$B7="Gross Profit",$B7="EBT",$B7="Net Profit"),G7&lt;0)</formula>
    </cfRule>
    <cfRule type="expression" dxfId="0" priority="6">
      <formula>AND(OR($B7="Revenue",$B7="Gross Profit",$B7="EBT",$B7="Net Profit"),G7&gt;0)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8DA8C7-A4CC-4D34-8BE7-139675CCCEBA}">
          <x14:formula1>
            <xm:f>'Data Source'!$B$2:$B$5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2FCA-2F92-4BBA-8F24-0D706F2EB1DC}">
  <dimension ref="B1:M13"/>
  <sheetViews>
    <sheetView showGridLines="0" zoomScale="84" zoomScaleNormal="84" workbookViewId="0"/>
  </sheetViews>
  <sheetFormatPr defaultRowHeight="18.75" x14ac:dyDescent="0.3"/>
  <cols>
    <col min="1" max="1" width="2.5703125" style="127" customWidth="1"/>
    <col min="2" max="2" width="29.140625" style="127" bestFit="1" customWidth="1"/>
    <col min="3" max="6" width="15.85546875" style="127" bestFit="1" customWidth="1"/>
    <col min="7" max="7" width="17" style="127" bestFit="1" customWidth="1"/>
    <col min="8" max="8" width="2.5703125" style="127" customWidth="1"/>
    <col min="9" max="9" width="29.140625" style="127" bestFit="1" customWidth="1"/>
    <col min="10" max="13" width="15.85546875" style="127" bestFit="1" customWidth="1"/>
    <col min="14" max="14" width="9.140625" style="127"/>
    <col min="15" max="15" width="4.85546875" style="127" bestFit="1" customWidth="1"/>
    <col min="16" max="16384" width="9.140625" style="127"/>
  </cols>
  <sheetData>
    <row r="1" spans="2:13" x14ac:dyDescent="0.3">
      <c r="B1" s="156" t="s">
        <v>143</v>
      </c>
      <c r="C1" s="235" t="s">
        <v>136</v>
      </c>
      <c r="D1" s="235"/>
      <c r="E1" s="235"/>
      <c r="F1" s="235"/>
      <c r="G1" s="235"/>
      <c r="I1" s="156" t="s">
        <v>143</v>
      </c>
      <c r="J1" s="235" t="s">
        <v>137</v>
      </c>
      <c r="K1" s="235"/>
      <c r="L1" s="235"/>
      <c r="M1" s="235"/>
    </row>
    <row r="3" spans="2:13" x14ac:dyDescent="0.3">
      <c r="B3" s="149" t="s">
        <v>98</v>
      </c>
      <c r="C3" s="150">
        <v>46112</v>
      </c>
      <c r="D3" s="150">
        <v>46203</v>
      </c>
      <c r="E3" s="150">
        <v>46295</v>
      </c>
      <c r="F3" s="150">
        <v>46387</v>
      </c>
      <c r="G3" s="149" t="s">
        <v>144</v>
      </c>
      <c r="I3" s="149" t="s">
        <v>138</v>
      </c>
      <c r="J3" s="150">
        <v>46112</v>
      </c>
      <c r="K3" s="150">
        <v>46203</v>
      </c>
      <c r="L3" s="150">
        <v>46295</v>
      </c>
      <c r="M3" s="150">
        <v>46387</v>
      </c>
    </row>
    <row r="4" spans="2:13" x14ac:dyDescent="0.3">
      <c r="B4" s="128" t="s">
        <v>81</v>
      </c>
      <c r="C4" s="133">
        <f>'Income Statement'!B8</f>
        <v>185000</v>
      </c>
      <c r="D4" s="133">
        <f>'Income Statement'!C8</f>
        <v>212750</v>
      </c>
      <c r="E4" s="133">
        <f>'Income Statement'!D8</f>
        <v>244662.49999999997</v>
      </c>
      <c r="F4" s="134">
        <f>'Income Statement'!E8</f>
        <v>282587.5</v>
      </c>
      <c r="G4" s="133">
        <f>SUM(C4:F4)</f>
        <v>925000</v>
      </c>
      <c r="H4" s="135"/>
      <c r="I4" s="133" t="s">
        <v>81</v>
      </c>
      <c r="J4" s="133">
        <f>SUM($C4:C4)</f>
        <v>185000</v>
      </c>
      <c r="K4" s="133">
        <f>SUM($C4:D4)</f>
        <v>397750</v>
      </c>
      <c r="L4" s="133">
        <f>SUM($C4:E4)</f>
        <v>642412.5</v>
      </c>
      <c r="M4" s="134">
        <f>SUM($C4:F4)</f>
        <v>925000</v>
      </c>
    </row>
    <row r="5" spans="2:13" x14ac:dyDescent="0.3">
      <c r="B5" s="129" t="s">
        <v>82</v>
      </c>
      <c r="C5" s="136">
        <f>'Income Statement'!B9</f>
        <v>51340.476190476191</v>
      </c>
      <c r="D5" s="136">
        <f>'Income Statement'!C9</f>
        <v>59041.547619047611</v>
      </c>
      <c r="E5" s="136">
        <f>'Income Statement'!D9</f>
        <v>67897.779761904749</v>
      </c>
      <c r="F5" s="137">
        <f>'Income Statement'!E9</f>
        <v>78422.577380952396</v>
      </c>
      <c r="G5" s="136">
        <f>SUM(C5:F5)</f>
        <v>256702.38095238095</v>
      </c>
      <c r="H5" s="135"/>
      <c r="I5" s="138" t="s">
        <v>82</v>
      </c>
      <c r="J5" s="138">
        <f>SUM($C5:C5)</f>
        <v>51340.476190476191</v>
      </c>
      <c r="K5" s="138">
        <f>SUM($C5:D5)</f>
        <v>110382.0238095238</v>
      </c>
      <c r="L5" s="138">
        <f>SUM($C5:E5)</f>
        <v>178279.80357142855</v>
      </c>
      <c r="M5" s="139">
        <f>SUM($C5:F5)</f>
        <v>256702.38095238095</v>
      </c>
    </row>
    <row r="6" spans="2:13" x14ac:dyDescent="0.3">
      <c r="B6" s="131" t="s">
        <v>83</v>
      </c>
      <c r="C6" s="140">
        <f>C4-C5</f>
        <v>133659.52380952382</v>
      </c>
      <c r="D6" s="140">
        <f t="shared" ref="D6:G6" si="0">D4-D5</f>
        <v>153708.4523809524</v>
      </c>
      <c r="E6" s="140">
        <f t="shared" si="0"/>
        <v>176764.72023809521</v>
      </c>
      <c r="F6" s="141">
        <f t="shared" si="0"/>
        <v>204164.9226190476</v>
      </c>
      <c r="G6" s="140">
        <f t="shared" si="0"/>
        <v>668297.61904761905</v>
      </c>
      <c r="H6" s="135"/>
      <c r="I6" s="140" t="s">
        <v>83</v>
      </c>
      <c r="J6" s="133">
        <f>SUM($C6:C6)</f>
        <v>133659.52380952382</v>
      </c>
      <c r="K6" s="133">
        <f>SUM($C6:D6)</f>
        <v>287367.97619047621</v>
      </c>
      <c r="L6" s="133">
        <f>SUM($C6:E6)</f>
        <v>464132.69642857142</v>
      </c>
      <c r="M6" s="134">
        <f>SUM($C6:F6)</f>
        <v>668297.61904761905</v>
      </c>
    </row>
    <row r="7" spans="2:13" x14ac:dyDescent="0.3">
      <c r="B7" s="129" t="s">
        <v>139</v>
      </c>
      <c r="C7" s="136">
        <f>('Income Statement'!B16+'Income Statement'!B20)</f>
        <v>8750</v>
      </c>
      <c r="D7" s="136">
        <f>('Income Statement'!C16+'Income Statement'!C20)</f>
        <v>8787.5</v>
      </c>
      <c r="E7" s="136">
        <f>('Income Statement'!D16+'Income Statement'!D20)</f>
        <v>9014.75</v>
      </c>
      <c r="F7" s="137">
        <f>('Income Statement'!E16+'Income Statement'!E20)</f>
        <v>8447.75</v>
      </c>
      <c r="G7" s="136">
        <f t="shared" ref="G7:G12" si="1">SUM(C7:F7)</f>
        <v>35000</v>
      </c>
      <c r="H7" s="135"/>
      <c r="I7" s="129" t="s">
        <v>139</v>
      </c>
      <c r="J7" s="138">
        <f>SUM($C7:C7)</f>
        <v>8750</v>
      </c>
      <c r="K7" s="138">
        <f>SUM($C7:D7)</f>
        <v>17537.5</v>
      </c>
      <c r="L7" s="138">
        <f>SUM($C7:E7)</f>
        <v>26552.25</v>
      </c>
      <c r="M7" s="139">
        <f>SUM($C7:F7)</f>
        <v>35000</v>
      </c>
    </row>
    <row r="8" spans="2:13" x14ac:dyDescent="0.3">
      <c r="B8" s="129" t="s">
        <v>145</v>
      </c>
      <c r="C8" s="136">
        <f>('Income Statement'!B17+'Income Statement'!B18+'Income Statement'!B21+'Income Statement'!B22)</f>
        <v>5500</v>
      </c>
      <c r="D8" s="136">
        <f>('Income Statement'!C17+'Income Statement'!C18+'Income Statement'!C21+'Income Statement'!C22)</f>
        <v>5517.5</v>
      </c>
      <c r="E8" s="136">
        <f>('Income Statement'!D17+'Income Statement'!D18+'Income Statement'!D21+'Income Statement'!D22)</f>
        <v>5623.55</v>
      </c>
      <c r="F8" s="137">
        <f>('Income Statement'!E17+'Income Statement'!E18+'Income Statement'!E21+'Income Statement'!E22)</f>
        <v>5358.95</v>
      </c>
      <c r="G8" s="136">
        <f t="shared" si="1"/>
        <v>22000</v>
      </c>
      <c r="H8" s="135"/>
      <c r="I8" s="129" t="s">
        <v>145</v>
      </c>
      <c r="J8" s="138">
        <f>SUM($C8:C8)</f>
        <v>5500</v>
      </c>
      <c r="K8" s="138">
        <f>SUM($C8:D8)</f>
        <v>11017.5</v>
      </c>
      <c r="L8" s="138">
        <f>SUM($C8:E8)</f>
        <v>16641.05</v>
      </c>
      <c r="M8" s="139">
        <f>SUM($C8:F8)</f>
        <v>22000</v>
      </c>
    </row>
    <row r="9" spans="2:13" x14ac:dyDescent="0.3">
      <c r="B9" s="129" t="s">
        <v>140</v>
      </c>
      <c r="C9" s="136">
        <f>'Income Statement'!B23</f>
        <v>1250</v>
      </c>
      <c r="D9" s="136">
        <f>'Income Statement'!C23</f>
        <v>1250</v>
      </c>
      <c r="E9" s="136">
        <f>'Income Statement'!D23</f>
        <v>1250</v>
      </c>
      <c r="F9" s="137">
        <f>'Income Statement'!E23</f>
        <v>1250</v>
      </c>
      <c r="G9" s="136">
        <f t="shared" si="1"/>
        <v>5000</v>
      </c>
      <c r="H9" s="135"/>
      <c r="I9" s="129" t="s">
        <v>140</v>
      </c>
      <c r="J9" s="138">
        <f>SUM($C9:C9)</f>
        <v>1250</v>
      </c>
      <c r="K9" s="138">
        <f>SUM($C9:D9)</f>
        <v>2500</v>
      </c>
      <c r="L9" s="138">
        <f>SUM($C9:E9)</f>
        <v>3750</v>
      </c>
      <c r="M9" s="139">
        <f>SUM($C9:F9)</f>
        <v>5000</v>
      </c>
    </row>
    <row r="10" spans="2:13" x14ac:dyDescent="0.3">
      <c r="B10" s="129" t="s">
        <v>108</v>
      </c>
      <c r="C10" s="136">
        <f>'Income Statement'!B19</f>
        <v>500</v>
      </c>
      <c r="D10" s="136">
        <f>'Income Statement'!C19</f>
        <v>505</v>
      </c>
      <c r="E10" s="136">
        <f>'Income Statement'!D19</f>
        <v>535.30000000000007</v>
      </c>
      <c r="F10" s="137">
        <f>'Income Statement'!E19</f>
        <v>459.69999999999982</v>
      </c>
      <c r="G10" s="136">
        <f t="shared" si="1"/>
        <v>2000</v>
      </c>
      <c r="H10" s="135"/>
      <c r="I10" s="129" t="s">
        <v>108</v>
      </c>
      <c r="J10" s="138">
        <f>SUM($C10:C10)</f>
        <v>500</v>
      </c>
      <c r="K10" s="138">
        <f>SUM($C10:D10)</f>
        <v>1005</v>
      </c>
      <c r="L10" s="138">
        <f>SUM($C10:E10)</f>
        <v>1540.3000000000002</v>
      </c>
      <c r="M10" s="139">
        <f>SUM($C10:F10)</f>
        <v>2000</v>
      </c>
    </row>
    <row r="11" spans="2:13" x14ac:dyDescent="0.3">
      <c r="B11" s="128" t="s">
        <v>141</v>
      </c>
      <c r="C11" s="133">
        <f>C6-SUM(C7:C10)</f>
        <v>117659.52380952382</v>
      </c>
      <c r="D11" s="133">
        <f>D6-SUM(D7:D10)</f>
        <v>137648.4523809524</v>
      </c>
      <c r="E11" s="133">
        <f>E6-SUM(E7:E10)</f>
        <v>160341.1202380952</v>
      </c>
      <c r="F11" s="134">
        <f>F6-SUM(F7:F10)</f>
        <v>188648.52261904761</v>
      </c>
      <c r="G11" s="133">
        <f>G6-SUM(G7:G10)</f>
        <v>604297.61904761905</v>
      </c>
      <c r="H11" s="135"/>
      <c r="I11" s="133" t="s">
        <v>141</v>
      </c>
      <c r="J11" s="133">
        <f>SUM($C11:C11)</f>
        <v>117659.52380952382</v>
      </c>
      <c r="K11" s="133">
        <f>SUM($C11:D11)</f>
        <v>255307.97619047621</v>
      </c>
      <c r="L11" s="133">
        <f>SUM($C11:E11)</f>
        <v>415649.09642857139</v>
      </c>
      <c r="M11" s="134">
        <f>SUM($C11:F11)</f>
        <v>604297.61904761894</v>
      </c>
    </row>
    <row r="12" spans="2:13" x14ac:dyDescent="0.3">
      <c r="B12" s="130" t="s">
        <v>92</v>
      </c>
      <c r="C12" s="142">
        <f>'Income Statement'!B29</f>
        <v>23531.904761904763</v>
      </c>
      <c r="D12" s="142">
        <f>'Income Statement'!C29</f>
        <v>27529.690476190481</v>
      </c>
      <c r="E12" s="142">
        <f>'Income Statement'!D29</f>
        <v>32068.224047619042</v>
      </c>
      <c r="F12" s="143">
        <f>'Income Statement'!E29</f>
        <v>37729.704523809523</v>
      </c>
      <c r="G12" s="136">
        <f t="shared" si="1"/>
        <v>120859.52380952382</v>
      </c>
      <c r="H12" s="135"/>
      <c r="I12" s="138" t="s">
        <v>92</v>
      </c>
      <c r="J12" s="138">
        <f>SUM($C12:C12)</f>
        <v>23531.904761904763</v>
      </c>
      <c r="K12" s="138">
        <f>SUM($C12:D12)</f>
        <v>51061.595238095244</v>
      </c>
      <c r="L12" s="138">
        <f>SUM($C12:E12)</f>
        <v>83129.819285714286</v>
      </c>
      <c r="M12" s="139">
        <f>SUM($C12:F12)</f>
        <v>120859.52380952382</v>
      </c>
    </row>
    <row r="13" spans="2:13" x14ac:dyDescent="0.3">
      <c r="B13" s="151" t="s">
        <v>142</v>
      </c>
      <c r="C13" s="152">
        <f t="shared" ref="C13:G13" si="2">C11-C12</f>
        <v>94127.619047619053</v>
      </c>
      <c r="D13" s="152">
        <f t="shared" si="2"/>
        <v>110118.76190476192</v>
      </c>
      <c r="E13" s="152">
        <f t="shared" si="2"/>
        <v>128272.89619047617</v>
      </c>
      <c r="F13" s="153">
        <f t="shared" si="2"/>
        <v>150918.81809523809</v>
      </c>
      <c r="G13" s="154">
        <f t="shared" si="2"/>
        <v>483438.09523809527</v>
      </c>
      <c r="H13" s="135"/>
      <c r="I13" s="154" t="s">
        <v>142</v>
      </c>
      <c r="J13" s="154">
        <f>SUM($C13:C13)</f>
        <v>94127.619047619053</v>
      </c>
      <c r="K13" s="154">
        <f>SUM($C13:D13)</f>
        <v>204246.38095238098</v>
      </c>
      <c r="L13" s="154">
        <f>SUM($C13:E13)</f>
        <v>332519.27714285714</v>
      </c>
      <c r="M13" s="155">
        <f>SUM($C13:F13)</f>
        <v>483438.09523809527</v>
      </c>
    </row>
  </sheetData>
  <sheetProtection algorithmName="SHA-512" hashValue="xcwODGtVZhpn9R5x9QTGSwEqOiJzn08s/5BoSGkuf7Tm8kFWkuhtVitR8DFBYUftKhQvIXyv6FP+18xosI8unw==" saltValue="J2aV0zWvrP0ZDL46iHyAKw==" spinCount="100000" sheet="1" objects="1" scenarios="1"/>
  <mergeCells count="2">
    <mergeCell ref="C1:G1"/>
    <mergeCell ref="J1:M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5DE6-7E66-40FC-94D2-B5B5CA284008}">
  <dimension ref="B1:M13"/>
  <sheetViews>
    <sheetView showGridLines="0" zoomScale="84" zoomScaleNormal="84" workbookViewId="0"/>
  </sheetViews>
  <sheetFormatPr defaultRowHeight="18.75" x14ac:dyDescent="0.3"/>
  <cols>
    <col min="1" max="1" width="2.5703125" style="127" customWidth="1"/>
    <col min="2" max="2" width="29.140625" style="127" bestFit="1" customWidth="1"/>
    <col min="3" max="6" width="15.85546875" style="127" bestFit="1" customWidth="1"/>
    <col min="7" max="7" width="17" style="127" bestFit="1" customWidth="1"/>
    <col min="8" max="8" width="2.5703125" style="127" customWidth="1"/>
    <col min="9" max="9" width="29.140625" style="127" bestFit="1" customWidth="1"/>
    <col min="10" max="13" width="15.85546875" style="127" bestFit="1" customWidth="1"/>
    <col min="14" max="14" width="9.140625" style="127"/>
    <col min="15" max="15" width="4.85546875" style="127" bestFit="1" customWidth="1"/>
    <col min="16" max="16384" width="9.140625" style="127"/>
  </cols>
  <sheetData>
    <row r="1" spans="2:13" x14ac:dyDescent="0.3">
      <c r="B1" s="156" t="s">
        <v>143</v>
      </c>
      <c r="C1" s="235" t="s">
        <v>136</v>
      </c>
      <c r="D1" s="235"/>
      <c r="E1" s="235"/>
      <c r="F1" s="235"/>
      <c r="G1" s="235"/>
      <c r="I1" s="156" t="s">
        <v>143</v>
      </c>
      <c r="J1" s="235" t="s">
        <v>137</v>
      </c>
      <c r="K1" s="235"/>
      <c r="L1" s="235"/>
      <c r="M1" s="235"/>
    </row>
    <row r="3" spans="2:13" x14ac:dyDescent="0.3">
      <c r="B3" s="149" t="s">
        <v>98</v>
      </c>
      <c r="C3" s="150">
        <v>46112</v>
      </c>
      <c r="D3" s="150">
        <v>46203</v>
      </c>
      <c r="E3" s="150">
        <v>46295</v>
      </c>
      <c r="F3" s="150">
        <v>46387</v>
      </c>
      <c r="G3" s="149" t="s">
        <v>144</v>
      </c>
      <c r="I3" s="149" t="s">
        <v>138</v>
      </c>
      <c r="J3" s="150">
        <v>46112</v>
      </c>
      <c r="K3" s="150">
        <v>46203</v>
      </c>
      <c r="L3" s="150">
        <v>46295</v>
      </c>
      <c r="M3" s="150">
        <v>46387</v>
      </c>
    </row>
    <row r="4" spans="2:13" x14ac:dyDescent="0.3">
      <c r="B4" s="128" t="s">
        <v>81</v>
      </c>
      <c r="C4" s="133">
        <f>Actuals!C4*0.95</f>
        <v>175750</v>
      </c>
      <c r="D4" s="133">
        <f>Actuals!D4*0.97</f>
        <v>206367.5</v>
      </c>
      <c r="E4" s="133">
        <f>Actuals!E4*0.92</f>
        <v>225089.49999999997</v>
      </c>
      <c r="F4" s="134">
        <f>Actuals!F4*0.92</f>
        <v>259980.5</v>
      </c>
      <c r="G4" s="133">
        <f>SUM(C4:F4)</f>
        <v>867187.5</v>
      </c>
      <c r="H4" s="135"/>
      <c r="I4" s="133" t="s">
        <v>81</v>
      </c>
      <c r="J4" s="133">
        <f>SUM($C4:C4)</f>
        <v>175750</v>
      </c>
      <c r="K4" s="133">
        <f>SUM($C4:D4)</f>
        <v>382117.5</v>
      </c>
      <c r="L4" s="133">
        <f>SUM($C4:E4)</f>
        <v>607207</v>
      </c>
      <c r="M4" s="134">
        <f>SUM($C4:F4)</f>
        <v>867187.5</v>
      </c>
    </row>
    <row r="5" spans="2:13" x14ac:dyDescent="0.3">
      <c r="B5" s="129" t="s">
        <v>82</v>
      </c>
      <c r="C5" s="136">
        <f>Actuals!C5*0.8</f>
        <v>41072.380952380954</v>
      </c>
      <c r="D5" s="136">
        <f>Actuals!D5*0.78</f>
        <v>46052.407142857141</v>
      </c>
      <c r="E5" s="136">
        <f>Actuals!E5*0.82</f>
        <v>55676.17940476189</v>
      </c>
      <c r="F5" s="137">
        <f>Actuals!F5*0.78</f>
        <v>61169.610357142868</v>
      </c>
      <c r="G5" s="136">
        <f>SUM(C5:F5)</f>
        <v>203970.57785714284</v>
      </c>
      <c r="H5" s="135"/>
      <c r="I5" s="138" t="s">
        <v>82</v>
      </c>
      <c r="J5" s="138">
        <f>SUM($C5:C5)</f>
        <v>41072.380952380954</v>
      </c>
      <c r="K5" s="138">
        <f>SUM($C5:D5)</f>
        <v>87124.788095238095</v>
      </c>
      <c r="L5" s="138">
        <f>SUM($C5:E5)</f>
        <v>142800.96749999997</v>
      </c>
      <c r="M5" s="139">
        <f>SUM($C5:F5)</f>
        <v>203970.57785714284</v>
      </c>
    </row>
    <row r="6" spans="2:13" x14ac:dyDescent="0.3">
      <c r="B6" s="131" t="s">
        <v>83</v>
      </c>
      <c r="C6" s="140">
        <f>C4-C5</f>
        <v>134677.61904761905</v>
      </c>
      <c r="D6" s="140">
        <f t="shared" ref="D6:G6" si="0">D4-D5</f>
        <v>160315.09285714285</v>
      </c>
      <c r="E6" s="140">
        <f t="shared" si="0"/>
        <v>169413.32059523807</v>
      </c>
      <c r="F6" s="141">
        <f t="shared" si="0"/>
        <v>198810.88964285713</v>
      </c>
      <c r="G6" s="140">
        <f t="shared" si="0"/>
        <v>663216.92214285722</v>
      </c>
      <c r="H6" s="135"/>
      <c r="I6" s="140" t="s">
        <v>83</v>
      </c>
      <c r="J6" s="133">
        <f>SUM($C6:C6)</f>
        <v>134677.61904761905</v>
      </c>
      <c r="K6" s="133">
        <f>SUM($C6:D6)</f>
        <v>294992.71190476191</v>
      </c>
      <c r="L6" s="133">
        <f>SUM($C6:E6)</f>
        <v>464406.03249999997</v>
      </c>
      <c r="M6" s="134">
        <f>SUM($C6:F6)</f>
        <v>663216.9221428571</v>
      </c>
    </row>
    <row r="7" spans="2:13" x14ac:dyDescent="0.3">
      <c r="B7" s="129" t="s">
        <v>139</v>
      </c>
      <c r="C7" s="136">
        <f>Actuals!C7*1.06</f>
        <v>9275</v>
      </c>
      <c r="D7" s="136">
        <f>Actuals!D7*1.08</f>
        <v>9490.5</v>
      </c>
      <c r="E7" s="136">
        <f>Actuals!E7*1.1</f>
        <v>9916.2250000000004</v>
      </c>
      <c r="F7" s="137">
        <f>Actuals!F7*1.02</f>
        <v>8616.7049999999999</v>
      </c>
      <c r="G7" s="136">
        <f t="shared" ref="G7:G12" si="1">SUM(C7:F7)</f>
        <v>37298.43</v>
      </c>
      <c r="H7" s="135"/>
      <c r="I7" s="129" t="s">
        <v>139</v>
      </c>
      <c r="J7" s="138">
        <f>SUM($C7:C7)</f>
        <v>9275</v>
      </c>
      <c r="K7" s="138">
        <f>SUM($C7:D7)</f>
        <v>18765.5</v>
      </c>
      <c r="L7" s="138">
        <f>SUM($C7:E7)</f>
        <v>28681.724999999999</v>
      </c>
      <c r="M7" s="139">
        <f>SUM($C7:F7)</f>
        <v>37298.43</v>
      </c>
    </row>
    <row r="8" spans="2:13" x14ac:dyDescent="0.3">
      <c r="B8" s="129" t="s">
        <v>145</v>
      </c>
      <c r="C8" s="136">
        <f>Actuals!C8*1.3</f>
        <v>7150</v>
      </c>
      <c r="D8" s="136">
        <f>Actuals!D8*1.35</f>
        <v>7448.6250000000009</v>
      </c>
      <c r="E8" s="136">
        <f>Actuals!E8*1.35</f>
        <v>7591.7925000000005</v>
      </c>
      <c r="F8" s="137">
        <f>Actuals!F8*1.4</f>
        <v>7502.5299999999988</v>
      </c>
      <c r="G8" s="136">
        <f t="shared" si="1"/>
        <v>29692.947499999998</v>
      </c>
      <c r="H8" s="135"/>
      <c r="I8" s="129" t="s">
        <v>145</v>
      </c>
      <c r="J8" s="138">
        <f>SUM($C8:C8)</f>
        <v>7150</v>
      </c>
      <c r="K8" s="138">
        <f>SUM($C8:D8)</f>
        <v>14598.625</v>
      </c>
      <c r="L8" s="138">
        <f>SUM($C8:E8)</f>
        <v>22190.4175</v>
      </c>
      <c r="M8" s="139">
        <f>SUM($C8:F8)</f>
        <v>29692.947499999998</v>
      </c>
    </row>
    <row r="9" spans="2:13" x14ac:dyDescent="0.3">
      <c r="B9" s="129" t="s">
        <v>140</v>
      </c>
      <c r="C9" s="136">
        <f>Actuals!C9*1.03</f>
        <v>1287.5</v>
      </c>
      <c r="D9" s="136">
        <f>Actuals!D9*1.04</f>
        <v>1300</v>
      </c>
      <c r="E9" s="136">
        <f>Actuals!E9*1.09</f>
        <v>1362.5</v>
      </c>
      <c r="F9" s="137">
        <f>Actuals!F9*1.01</f>
        <v>1262.5</v>
      </c>
      <c r="G9" s="136">
        <f t="shared" si="1"/>
        <v>5212.5</v>
      </c>
      <c r="H9" s="135"/>
      <c r="I9" s="129" t="s">
        <v>140</v>
      </c>
      <c r="J9" s="138">
        <f>SUM($C9:C9)</f>
        <v>1287.5</v>
      </c>
      <c r="K9" s="138">
        <f>SUM($C9:D9)</f>
        <v>2587.5</v>
      </c>
      <c r="L9" s="138">
        <f>SUM($C9:E9)</f>
        <v>3950</v>
      </c>
      <c r="M9" s="139">
        <f>SUM($C9:F9)</f>
        <v>5212.5</v>
      </c>
    </row>
    <row r="10" spans="2:13" x14ac:dyDescent="0.3">
      <c r="B10" s="129" t="s">
        <v>108</v>
      </c>
      <c r="C10" s="136">
        <f>Actuals!C10*1.12</f>
        <v>560</v>
      </c>
      <c r="D10" s="136">
        <f>Actuals!D10*1.12</f>
        <v>565.6</v>
      </c>
      <c r="E10" s="136">
        <f>Actuals!E10*1.1</f>
        <v>588.83000000000015</v>
      </c>
      <c r="F10" s="137">
        <f>Actuals!F10*1.13</f>
        <v>519.46099999999979</v>
      </c>
      <c r="G10" s="136">
        <f t="shared" si="1"/>
        <v>2233.8909999999996</v>
      </c>
      <c r="H10" s="135"/>
      <c r="I10" s="129" t="s">
        <v>108</v>
      </c>
      <c r="J10" s="138">
        <f>SUM($C10:C10)</f>
        <v>560</v>
      </c>
      <c r="K10" s="138">
        <f>SUM($C10:D10)</f>
        <v>1125.5999999999999</v>
      </c>
      <c r="L10" s="138">
        <f>SUM($C10:E10)</f>
        <v>1714.43</v>
      </c>
      <c r="M10" s="139">
        <f>SUM($C10:F10)</f>
        <v>2233.8909999999996</v>
      </c>
    </row>
    <row r="11" spans="2:13" x14ac:dyDescent="0.3">
      <c r="B11" s="128" t="s">
        <v>141</v>
      </c>
      <c r="C11" s="133">
        <f>C6-SUM(C7:C10)</f>
        <v>116405.11904761905</v>
      </c>
      <c r="D11" s="133">
        <f>D6-SUM(D7:D10)</f>
        <v>141510.36785714285</v>
      </c>
      <c r="E11" s="133">
        <f>E6-SUM(E7:E10)</f>
        <v>149953.97309523806</v>
      </c>
      <c r="F11" s="134">
        <f>F6-SUM(F7:F10)</f>
        <v>180909.69364285714</v>
      </c>
      <c r="G11" s="133">
        <f>G6-SUM(G7:G10)</f>
        <v>588779.15364285721</v>
      </c>
      <c r="H11" s="135"/>
      <c r="I11" s="133" t="s">
        <v>141</v>
      </c>
      <c r="J11" s="133">
        <f>SUM($C11:C11)</f>
        <v>116405.11904761905</v>
      </c>
      <c r="K11" s="133">
        <f>SUM($C11:D11)</f>
        <v>257915.4869047619</v>
      </c>
      <c r="L11" s="133">
        <f>SUM($C11:E11)</f>
        <v>407869.45999999996</v>
      </c>
      <c r="M11" s="134">
        <f>SUM($C11:F11)</f>
        <v>588779.1536428571</v>
      </c>
    </row>
    <row r="12" spans="2:13" x14ac:dyDescent="0.3">
      <c r="B12" s="130" t="s">
        <v>92</v>
      </c>
      <c r="C12" s="142">
        <f>Actuals!C12*1.58</f>
        <v>37180.409523809525</v>
      </c>
      <c r="D12" s="142">
        <f>Actuals!D12*0.14</f>
        <v>3854.1566666666677</v>
      </c>
      <c r="E12" s="142">
        <f>Actuals!E12*0.95</f>
        <v>30464.812845238088</v>
      </c>
      <c r="F12" s="143">
        <f>Actuals!F12*0.69</f>
        <v>26033.496121428569</v>
      </c>
      <c r="G12" s="136">
        <f t="shared" si="1"/>
        <v>97532.875157142858</v>
      </c>
      <c r="H12" s="135"/>
      <c r="I12" s="138" t="s">
        <v>92</v>
      </c>
      <c r="J12" s="138">
        <f>SUM($C12:C12)</f>
        <v>37180.409523809525</v>
      </c>
      <c r="K12" s="138">
        <f>SUM($C12:D12)</f>
        <v>41034.566190476195</v>
      </c>
      <c r="L12" s="138">
        <f>SUM($C12:E12)</f>
        <v>71499.379035714286</v>
      </c>
      <c r="M12" s="139">
        <f>SUM($C12:F12)</f>
        <v>97532.875157142858</v>
      </c>
    </row>
    <row r="13" spans="2:13" x14ac:dyDescent="0.3">
      <c r="B13" s="151" t="s">
        <v>142</v>
      </c>
      <c r="C13" s="152">
        <f t="shared" ref="C13:G13" si="2">C11-C12</f>
        <v>79224.709523809521</v>
      </c>
      <c r="D13" s="152">
        <f t="shared" si="2"/>
        <v>137656.21119047617</v>
      </c>
      <c r="E13" s="152">
        <f t="shared" si="2"/>
        <v>119489.16024999997</v>
      </c>
      <c r="F13" s="153">
        <f t="shared" si="2"/>
        <v>154876.19752142858</v>
      </c>
      <c r="G13" s="154">
        <f t="shared" si="2"/>
        <v>491246.27848571434</v>
      </c>
      <c r="H13" s="135"/>
      <c r="I13" s="154" t="s">
        <v>142</v>
      </c>
      <c r="J13" s="154">
        <f>SUM($C13:C13)</f>
        <v>79224.709523809521</v>
      </c>
      <c r="K13" s="154">
        <f>SUM($C13:D13)</f>
        <v>216880.92071428569</v>
      </c>
      <c r="L13" s="154">
        <f>SUM($C13:E13)</f>
        <v>336370.08096428565</v>
      </c>
      <c r="M13" s="155">
        <f>SUM($C13:F13)</f>
        <v>491246.27848571423</v>
      </c>
    </row>
  </sheetData>
  <sheetProtection algorithmName="SHA-512" hashValue="p4IvleHWqkpntgaSgc5+CR/j/wvWkZk5pBBBOxnbCBbyIv/XL7mCN96+ufO4JpOZGAkrgR17VAr53WqY0u4/Eg==" saltValue="wP8xqsXlgxoYta5mxJ/wtg==" spinCount="100000" sheet="1" objects="1" scenarios="1"/>
  <mergeCells count="2">
    <mergeCell ref="C1:G1"/>
    <mergeCell ref="J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688D-4BC0-41FE-89B0-152BFB19D375}">
  <dimension ref="A2:J141"/>
  <sheetViews>
    <sheetView showGridLines="0" zoomScale="90" zoomScaleNormal="90" workbookViewId="0"/>
  </sheetViews>
  <sheetFormatPr defaultRowHeight="15" x14ac:dyDescent="0.25"/>
  <cols>
    <col min="1" max="1" width="37.85546875" customWidth="1"/>
    <col min="2" max="2" width="20.140625" customWidth="1"/>
    <col min="3" max="3" width="30.140625" bestFit="1" customWidth="1"/>
    <col min="4" max="4" width="23.42578125" bestFit="1" customWidth="1"/>
    <col min="5" max="5" width="16.7109375" customWidth="1"/>
    <col min="6" max="6" width="15.140625" customWidth="1"/>
    <col min="7" max="7" width="13" customWidth="1"/>
    <col min="8" max="8" width="11.42578125" customWidth="1"/>
    <col min="9" max="10" width="10.7109375" bestFit="1" customWidth="1"/>
  </cols>
  <sheetData>
    <row r="2" spans="1:8" x14ac:dyDescent="0.25">
      <c r="A2" s="236" t="s">
        <v>1</v>
      </c>
      <c r="B2" s="237"/>
      <c r="C2" s="237"/>
      <c r="D2" s="238"/>
    </row>
    <row r="3" spans="1:8" x14ac:dyDescent="0.25">
      <c r="A3" s="52" t="s">
        <v>0</v>
      </c>
      <c r="B3" s="13" t="s">
        <v>31</v>
      </c>
      <c r="C3" s="13" t="s">
        <v>212</v>
      </c>
      <c r="D3" s="46" t="s">
        <v>213</v>
      </c>
    </row>
    <row r="4" spans="1:8" x14ac:dyDescent="0.25">
      <c r="A4" s="17" t="s">
        <v>120</v>
      </c>
      <c r="B4">
        <v>2000</v>
      </c>
      <c r="C4">
        <v>200</v>
      </c>
      <c r="D4" s="4">
        <f>B4*C4</f>
        <v>400000</v>
      </c>
    </row>
    <row r="5" spans="1:8" x14ac:dyDescent="0.25">
      <c r="A5" s="17" t="s">
        <v>121</v>
      </c>
      <c r="B5">
        <v>1500</v>
      </c>
      <c r="C5">
        <v>150</v>
      </c>
      <c r="D5" s="4">
        <f t="shared" ref="D5:D6" si="0">B5*C5</f>
        <v>225000</v>
      </c>
    </row>
    <row r="6" spans="1:8" x14ac:dyDescent="0.25">
      <c r="A6" s="17" t="s">
        <v>122</v>
      </c>
      <c r="B6">
        <v>1000</v>
      </c>
      <c r="C6">
        <v>300</v>
      </c>
      <c r="D6" s="4">
        <f t="shared" si="0"/>
        <v>300000</v>
      </c>
    </row>
    <row r="7" spans="1:8" x14ac:dyDescent="0.25">
      <c r="A7" s="24" t="s">
        <v>213</v>
      </c>
      <c r="B7" s="19"/>
      <c r="C7" s="19"/>
      <c r="D7" s="16">
        <f>SUM(D4:D6)</f>
        <v>925000</v>
      </c>
    </row>
    <row r="10" spans="1:8" x14ac:dyDescent="0.25">
      <c r="A10" s="8" t="s">
        <v>2</v>
      </c>
      <c r="B10" s="116" t="s">
        <v>120</v>
      </c>
      <c r="C10" s="116" t="s">
        <v>121</v>
      </c>
      <c r="D10" s="117" t="s">
        <v>122</v>
      </c>
      <c r="E10" s="8" t="s">
        <v>3</v>
      </c>
      <c r="F10" s="122" t="s">
        <v>4</v>
      </c>
      <c r="G10" s="123" t="s">
        <v>32</v>
      </c>
      <c r="H10" s="124" t="s">
        <v>119</v>
      </c>
    </row>
    <row r="11" spans="1:8" x14ac:dyDescent="0.25">
      <c r="A11" s="17" t="s">
        <v>33</v>
      </c>
      <c r="B11">
        <f>B4</f>
        <v>2000</v>
      </c>
      <c r="C11">
        <f>B5</f>
        <v>1500</v>
      </c>
      <c r="D11" s="20">
        <f>B6</f>
        <v>1000</v>
      </c>
      <c r="E11" s="17">
        <f>SUM(B11:D11)</f>
        <v>4500</v>
      </c>
      <c r="F11" s="36">
        <f>E11*1.1</f>
        <v>4950</v>
      </c>
      <c r="G11" s="36">
        <f>F11*1.1</f>
        <v>5445</v>
      </c>
      <c r="H11" s="4">
        <f>G11*1.1</f>
        <v>5989.5000000000009</v>
      </c>
    </row>
    <row r="12" spans="1:8" x14ac:dyDescent="0.25">
      <c r="A12" s="17" t="s">
        <v>41</v>
      </c>
      <c r="B12">
        <f>B11*0.1</f>
        <v>200</v>
      </c>
      <c r="C12">
        <f t="shared" ref="C12:D12" si="1">C11*0.1</f>
        <v>150</v>
      </c>
      <c r="D12" s="20">
        <f t="shared" si="1"/>
        <v>100</v>
      </c>
      <c r="E12" s="17">
        <f t="shared" ref="E12:E15" si="2">SUM(B12:D12)</f>
        <v>450</v>
      </c>
      <c r="F12" s="36">
        <f>F11*0.1</f>
        <v>495</v>
      </c>
      <c r="G12" s="36">
        <f>G11*0.1</f>
        <v>544.5</v>
      </c>
      <c r="H12" s="4">
        <f>H11*0.1</f>
        <v>598.95000000000016</v>
      </c>
    </row>
    <row r="13" spans="1:8" x14ac:dyDescent="0.25">
      <c r="A13" s="32" t="s">
        <v>42</v>
      </c>
      <c r="B13" s="10">
        <f>B11+B12</f>
        <v>2200</v>
      </c>
      <c r="C13" s="10">
        <f t="shared" ref="C13:D13" si="3">C11+C12</f>
        <v>1650</v>
      </c>
      <c r="D13" s="11">
        <f t="shared" si="3"/>
        <v>1100</v>
      </c>
      <c r="E13" s="32">
        <f t="shared" si="2"/>
        <v>4950</v>
      </c>
      <c r="F13" s="14">
        <f>SUM(F11:F12)</f>
        <v>5445</v>
      </c>
      <c r="G13" s="14">
        <f>SUM(G11:G12)</f>
        <v>5989.5</v>
      </c>
      <c r="H13" s="12">
        <f>SUM(H11:H12)</f>
        <v>6588.4500000000007</v>
      </c>
    </row>
    <row r="14" spans="1:8" x14ac:dyDescent="0.25">
      <c r="A14" s="17" t="s">
        <v>43</v>
      </c>
      <c r="B14">
        <f>B12/2</f>
        <v>100</v>
      </c>
      <c r="C14">
        <f t="shared" ref="C14:D14" si="4">C12/2</f>
        <v>75</v>
      </c>
      <c r="D14" s="20">
        <f t="shared" si="4"/>
        <v>50</v>
      </c>
      <c r="E14" s="17">
        <f t="shared" si="2"/>
        <v>225</v>
      </c>
      <c r="F14" s="36">
        <f>E12</f>
        <v>450</v>
      </c>
      <c r="G14" s="36">
        <f>F12</f>
        <v>495</v>
      </c>
      <c r="H14" s="4">
        <f>G12</f>
        <v>544.5</v>
      </c>
    </row>
    <row r="15" spans="1:8" x14ac:dyDescent="0.25">
      <c r="A15" s="7" t="s">
        <v>44</v>
      </c>
      <c r="B15" s="22">
        <f>B13-B14</f>
        <v>2100</v>
      </c>
      <c r="C15" s="22">
        <f t="shared" ref="C15:D15" si="5">C13-C14</f>
        <v>1575</v>
      </c>
      <c r="D15" s="23">
        <f t="shared" si="5"/>
        <v>1050</v>
      </c>
      <c r="E15" s="7">
        <f t="shared" si="2"/>
        <v>4725</v>
      </c>
      <c r="F15" s="33">
        <f>F13-F14</f>
        <v>4995</v>
      </c>
      <c r="G15" s="34">
        <f>G13-G14</f>
        <v>5494.5</v>
      </c>
      <c r="H15" s="35">
        <f>H13-H14</f>
        <v>6043.9500000000007</v>
      </c>
    </row>
    <row r="16" spans="1:8" x14ac:dyDescent="0.25">
      <c r="A16" s="17"/>
    </row>
    <row r="17" spans="1:4" x14ac:dyDescent="0.25">
      <c r="A17" s="39" t="s">
        <v>46</v>
      </c>
      <c r="B17" s="26">
        <f>B15/12</f>
        <v>175</v>
      </c>
      <c r="C17" s="26">
        <f t="shared" ref="C17:D17" si="6">C15/12</f>
        <v>131.25</v>
      </c>
      <c r="D17" s="29">
        <f t="shared" si="6"/>
        <v>87.5</v>
      </c>
    </row>
    <row r="18" spans="1:4" x14ac:dyDescent="0.25">
      <c r="A18" s="32" t="s">
        <v>35</v>
      </c>
      <c r="B18" s="27">
        <f>B17/4</f>
        <v>43.75</v>
      </c>
      <c r="C18" s="27">
        <f t="shared" ref="C18:D18" si="7">C17/4</f>
        <v>32.8125</v>
      </c>
      <c r="D18" s="30">
        <f t="shared" si="7"/>
        <v>21.875</v>
      </c>
    </row>
    <row r="19" spans="1:4" x14ac:dyDescent="0.25">
      <c r="A19" s="18" t="s">
        <v>36</v>
      </c>
      <c r="B19" s="28">
        <f>B18/6</f>
        <v>7.291666666666667</v>
      </c>
      <c r="C19" s="28">
        <f t="shared" ref="C19:D19" si="8">C18/6</f>
        <v>5.46875</v>
      </c>
      <c r="D19" s="31">
        <f t="shared" si="8"/>
        <v>3.6458333333333335</v>
      </c>
    </row>
    <row r="22" spans="1:4" x14ac:dyDescent="0.25">
      <c r="A22" s="8" t="s">
        <v>6</v>
      </c>
      <c r="B22" s="116" t="s">
        <v>120</v>
      </c>
      <c r="C22" s="116" t="s">
        <v>121</v>
      </c>
      <c r="D22" s="117" t="s">
        <v>122</v>
      </c>
    </row>
    <row r="23" spans="1:4" x14ac:dyDescent="0.25">
      <c r="A23" s="17" t="s">
        <v>8</v>
      </c>
      <c r="B23">
        <f>B15</f>
        <v>2100</v>
      </c>
      <c r="C23">
        <f t="shared" ref="C23:D23" si="9">C15</f>
        <v>1575</v>
      </c>
      <c r="D23" s="20">
        <f t="shared" si="9"/>
        <v>1050</v>
      </c>
    </row>
    <row r="24" spans="1:4" x14ac:dyDescent="0.25">
      <c r="A24" s="17" t="s">
        <v>45</v>
      </c>
      <c r="B24">
        <v>2</v>
      </c>
      <c r="C24">
        <v>1.5</v>
      </c>
      <c r="D24" s="20">
        <v>1</v>
      </c>
    </row>
    <row r="25" spans="1:4" x14ac:dyDescent="0.25">
      <c r="A25" s="32" t="s">
        <v>9</v>
      </c>
      <c r="B25" s="40">
        <f>B23*B24</f>
        <v>4200</v>
      </c>
      <c r="C25" s="40">
        <f t="shared" ref="C25:D25" si="10">C23*C24</f>
        <v>2362.5</v>
      </c>
      <c r="D25" s="41">
        <f t="shared" si="10"/>
        <v>1050</v>
      </c>
    </row>
    <row r="26" spans="1:4" x14ac:dyDescent="0.25">
      <c r="A26" s="239" t="s">
        <v>5</v>
      </c>
      <c r="B26" s="240"/>
      <c r="C26" s="240"/>
      <c r="D26" s="241"/>
    </row>
    <row r="27" spans="1:4" x14ac:dyDescent="0.25">
      <c r="A27" s="17" t="s">
        <v>9</v>
      </c>
      <c r="B27" s="40">
        <f>B25</f>
        <v>4200</v>
      </c>
      <c r="C27" s="40">
        <f>C25</f>
        <v>2362.5</v>
      </c>
      <c r="D27" s="41">
        <f>D25</f>
        <v>1050</v>
      </c>
    </row>
    <row r="28" spans="1:4" x14ac:dyDescent="0.25">
      <c r="A28" s="17" t="s">
        <v>37</v>
      </c>
      <c r="B28">
        <v>5</v>
      </c>
      <c r="C28">
        <v>7</v>
      </c>
      <c r="D28" s="20">
        <v>10</v>
      </c>
    </row>
    <row r="29" spans="1:4" x14ac:dyDescent="0.25">
      <c r="A29" s="7" t="s">
        <v>214</v>
      </c>
      <c r="B29" s="34">
        <f>B27*B28</f>
        <v>21000</v>
      </c>
      <c r="C29" s="34">
        <f>C27*C28</f>
        <v>16537.5</v>
      </c>
      <c r="D29" s="35">
        <f>D27*D28</f>
        <v>10500</v>
      </c>
    </row>
    <row r="30" spans="1:4" ht="30" x14ac:dyDescent="0.25">
      <c r="A30" s="51" t="s">
        <v>215</v>
      </c>
      <c r="B30" s="47"/>
      <c r="C30" s="47"/>
      <c r="D30" s="48">
        <f>SUM(B29:D29)</f>
        <v>48037.5</v>
      </c>
    </row>
    <row r="33" spans="1:6" x14ac:dyDescent="0.25">
      <c r="A33" s="1" t="s">
        <v>7</v>
      </c>
      <c r="B33" s="116" t="s">
        <v>120</v>
      </c>
      <c r="C33" s="116" t="s">
        <v>121</v>
      </c>
      <c r="D33" s="117" t="s">
        <v>122</v>
      </c>
    </row>
    <row r="34" spans="1:6" x14ac:dyDescent="0.25">
      <c r="A34" s="3" t="s">
        <v>8</v>
      </c>
      <c r="B34">
        <f>B23</f>
        <v>2100</v>
      </c>
      <c r="C34">
        <f t="shared" ref="C34:D34" si="11">C23</f>
        <v>1575</v>
      </c>
      <c r="D34" s="20">
        <f t="shared" si="11"/>
        <v>1050</v>
      </c>
    </row>
    <row r="35" spans="1:6" x14ac:dyDescent="0.25">
      <c r="A35" s="3" t="s">
        <v>47</v>
      </c>
      <c r="B35" s="27">
        <f>B34*0.15</f>
        <v>315</v>
      </c>
      <c r="C35" s="27">
        <f t="shared" ref="C35:D35" si="12">C34*0.15</f>
        <v>236.25</v>
      </c>
      <c r="D35" s="30">
        <f t="shared" si="12"/>
        <v>157.5</v>
      </c>
    </row>
    <row r="36" spans="1:6" x14ac:dyDescent="0.25">
      <c r="A36" s="9" t="s">
        <v>48</v>
      </c>
      <c r="B36" s="40">
        <f>B34+B35</f>
        <v>2415</v>
      </c>
      <c r="C36" s="40">
        <f t="shared" ref="C36:D36" si="13">C34+C35</f>
        <v>1811.25</v>
      </c>
      <c r="D36" s="41">
        <f t="shared" si="13"/>
        <v>1207.5</v>
      </c>
    </row>
    <row r="37" spans="1:6" x14ac:dyDescent="0.25">
      <c r="A37" s="3" t="s">
        <v>49</v>
      </c>
      <c r="B37" s="27">
        <f>B35/2</f>
        <v>157.5</v>
      </c>
      <c r="C37" s="27">
        <f t="shared" ref="C37:D37" si="14">C35/2</f>
        <v>118.125</v>
      </c>
      <c r="D37" s="30">
        <f t="shared" si="14"/>
        <v>78.75</v>
      </c>
    </row>
    <row r="38" spans="1:6" x14ac:dyDescent="0.25">
      <c r="A38" s="21" t="s">
        <v>50</v>
      </c>
      <c r="B38" s="49">
        <f>B36-B37</f>
        <v>2257.5</v>
      </c>
      <c r="C38" s="49">
        <f t="shared" ref="C38:D38" si="15">C36-C37</f>
        <v>1693.125</v>
      </c>
      <c r="D38" s="42">
        <f t="shared" si="15"/>
        <v>1128.75</v>
      </c>
    </row>
    <row r="39" spans="1:6" x14ac:dyDescent="0.25">
      <c r="A39" s="239" t="s">
        <v>5</v>
      </c>
      <c r="B39" s="240"/>
      <c r="C39" s="240"/>
      <c r="D39" s="241"/>
    </row>
    <row r="40" spans="1:6" x14ac:dyDescent="0.25">
      <c r="A40" s="3" t="s">
        <v>50</v>
      </c>
      <c r="B40" s="27">
        <f>B38</f>
        <v>2257.5</v>
      </c>
      <c r="C40" s="27">
        <f t="shared" ref="C40:D40" si="16">C38</f>
        <v>1693.125</v>
      </c>
      <c r="D40" s="30">
        <f t="shared" si="16"/>
        <v>1128.75</v>
      </c>
    </row>
    <row r="41" spans="1:6" x14ac:dyDescent="0.25">
      <c r="A41" s="3" t="s">
        <v>45</v>
      </c>
      <c r="B41">
        <f>B24</f>
        <v>2</v>
      </c>
      <c r="C41">
        <f t="shared" ref="C41:D41" si="17">C24</f>
        <v>1.5</v>
      </c>
      <c r="D41" s="20">
        <f t="shared" si="17"/>
        <v>1</v>
      </c>
    </row>
    <row r="42" spans="1:6" x14ac:dyDescent="0.25">
      <c r="A42" s="9" t="s">
        <v>10</v>
      </c>
      <c r="B42" s="40">
        <f>B40*B41</f>
        <v>4515</v>
      </c>
      <c r="C42" s="40">
        <f t="shared" ref="C42:D42" si="18">C40*C41</f>
        <v>2539.6875</v>
      </c>
      <c r="D42" s="41">
        <f t="shared" si="18"/>
        <v>1128.75</v>
      </c>
    </row>
    <row r="43" spans="1:6" x14ac:dyDescent="0.25">
      <c r="A43" s="3" t="s">
        <v>37</v>
      </c>
      <c r="B43">
        <f>B28</f>
        <v>5</v>
      </c>
      <c r="C43">
        <f t="shared" ref="C43:D43" si="19">C28</f>
        <v>7</v>
      </c>
      <c r="D43" s="20">
        <f t="shared" si="19"/>
        <v>10</v>
      </c>
    </row>
    <row r="44" spans="1:6" x14ac:dyDescent="0.25">
      <c r="A44" s="21" t="s">
        <v>216</v>
      </c>
      <c r="B44" s="34">
        <f>B42*B43</f>
        <v>22575</v>
      </c>
      <c r="C44" s="34">
        <f t="shared" ref="C44:D44" si="20">C42*C43</f>
        <v>17777.8125</v>
      </c>
      <c r="D44" s="35">
        <f t="shared" si="20"/>
        <v>11287.5</v>
      </c>
    </row>
    <row r="45" spans="1:6" ht="30" x14ac:dyDescent="0.25">
      <c r="A45" s="50" t="s">
        <v>217</v>
      </c>
      <c r="B45" s="47"/>
      <c r="C45" s="47"/>
      <c r="D45" s="48">
        <f>SUM(B44:D44)</f>
        <v>51640.3125</v>
      </c>
      <c r="F45" s="15"/>
    </row>
    <row r="46" spans="1:6" x14ac:dyDescent="0.25">
      <c r="F46" s="15"/>
    </row>
    <row r="48" spans="1:6" x14ac:dyDescent="0.25">
      <c r="A48" s="1" t="s">
        <v>11</v>
      </c>
      <c r="B48" s="116" t="s">
        <v>120</v>
      </c>
      <c r="C48" s="116" t="s">
        <v>121</v>
      </c>
      <c r="D48" s="117" t="s">
        <v>122</v>
      </c>
    </row>
    <row r="49" spans="1:4" x14ac:dyDescent="0.25">
      <c r="A49" s="3" t="s">
        <v>51</v>
      </c>
      <c r="B49">
        <v>120</v>
      </c>
      <c r="C49">
        <v>80</v>
      </c>
      <c r="D49" s="20">
        <v>40</v>
      </c>
    </row>
    <row r="50" spans="1:4" x14ac:dyDescent="0.25">
      <c r="A50" s="3" t="s">
        <v>52</v>
      </c>
      <c r="B50">
        <v>0.25</v>
      </c>
      <c r="C50">
        <v>0.5</v>
      </c>
      <c r="D50" s="20">
        <v>0.75</v>
      </c>
    </row>
    <row r="51" spans="1:4" x14ac:dyDescent="0.25">
      <c r="A51" s="9" t="s">
        <v>12</v>
      </c>
      <c r="B51">
        <f>B49*B50</f>
        <v>30</v>
      </c>
      <c r="C51">
        <f t="shared" ref="C51:D51" si="21">C49*C50</f>
        <v>40</v>
      </c>
      <c r="D51" s="20">
        <f t="shared" si="21"/>
        <v>30</v>
      </c>
    </row>
    <row r="52" spans="1:4" x14ac:dyDescent="0.25">
      <c r="A52" s="3" t="s">
        <v>44</v>
      </c>
      <c r="B52">
        <f>B15</f>
        <v>2100</v>
      </c>
      <c r="C52">
        <f t="shared" ref="C52:D52" si="22">C15</f>
        <v>1575</v>
      </c>
      <c r="D52" s="20">
        <f t="shared" si="22"/>
        <v>1050</v>
      </c>
    </row>
    <row r="53" spans="1:4" x14ac:dyDescent="0.25">
      <c r="A53" s="3" t="s">
        <v>58</v>
      </c>
      <c r="B53" s="27">
        <f>B52*B50</f>
        <v>525</v>
      </c>
      <c r="C53" s="27">
        <f t="shared" ref="C53:D53" si="23">C52*C50</f>
        <v>787.5</v>
      </c>
      <c r="D53" s="30">
        <f t="shared" si="23"/>
        <v>787.5</v>
      </c>
    </row>
    <row r="54" spans="1:4" x14ac:dyDescent="0.25">
      <c r="A54" s="21" t="s">
        <v>218</v>
      </c>
      <c r="B54" s="34">
        <f>B52*B49*B50</f>
        <v>63000</v>
      </c>
      <c r="C54" s="34">
        <f t="shared" ref="C54:D54" si="24">C52*C49*C50</f>
        <v>63000</v>
      </c>
      <c r="D54" s="35">
        <f t="shared" si="24"/>
        <v>31500</v>
      </c>
    </row>
    <row r="55" spans="1:4" x14ac:dyDescent="0.25">
      <c r="A55" s="5" t="s">
        <v>53</v>
      </c>
      <c r="B55" s="53"/>
      <c r="C55" s="53"/>
      <c r="D55" s="54">
        <f>SUM(B53:D53)</f>
        <v>2100</v>
      </c>
    </row>
    <row r="56" spans="1:4" x14ac:dyDescent="0.25">
      <c r="A56" s="5" t="s">
        <v>219</v>
      </c>
      <c r="B56" s="47"/>
      <c r="C56" s="47"/>
      <c r="D56" s="6">
        <f>SUM(B54:D54)</f>
        <v>157500</v>
      </c>
    </row>
    <row r="59" spans="1:4" x14ac:dyDescent="0.25">
      <c r="A59" s="236" t="s">
        <v>14</v>
      </c>
      <c r="B59" s="237"/>
      <c r="C59" s="237"/>
      <c r="D59" s="238"/>
    </row>
    <row r="60" spans="1:4" x14ac:dyDescent="0.25">
      <c r="A60" s="39" t="s">
        <v>15</v>
      </c>
      <c r="B60" s="10" t="s">
        <v>220</v>
      </c>
      <c r="C60" s="39" t="s">
        <v>16</v>
      </c>
      <c r="D60" s="11" t="s">
        <v>220</v>
      </c>
    </row>
    <row r="61" spans="1:4" x14ac:dyDescent="0.25">
      <c r="A61" s="17" t="s">
        <v>17</v>
      </c>
      <c r="B61" s="36">
        <v>5000</v>
      </c>
      <c r="C61" s="17" t="s">
        <v>18</v>
      </c>
      <c r="D61" s="4">
        <v>15000</v>
      </c>
    </row>
    <row r="62" spans="1:4" x14ac:dyDescent="0.25">
      <c r="A62" s="17" t="s">
        <v>19</v>
      </c>
      <c r="B62" s="36">
        <v>20000</v>
      </c>
      <c r="C62" s="17" t="s">
        <v>20</v>
      </c>
      <c r="D62" s="4">
        <v>5000</v>
      </c>
    </row>
    <row r="63" spans="1:4" x14ac:dyDescent="0.25">
      <c r="A63" s="17" t="s">
        <v>21</v>
      </c>
      <c r="B63" s="36">
        <v>10000</v>
      </c>
      <c r="C63" s="17" t="s">
        <v>22</v>
      </c>
      <c r="D63" s="4">
        <v>2000</v>
      </c>
    </row>
    <row r="64" spans="1:4" x14ac:dyDescent="0.25">
      <c r="A64" s="17" t="s">
        <v>23</v>
      </c>
      <c r="B64" s="36">
        <v>5000</v>
      </c>
      <c r="C64" s="17" t="s">
        <v>54</v>
      </c>
      <c r="D64" s="4">
        <v>2000</v>
      </c>
    </row>
    <row r="65" spans="1:7" x14ac:dyDescent="0.25">
      <c r="A65" s="32" t="s">
        <v>24</v>
      </c>
      <c r="B65" s="34">
        <f>SUM(B61:B64)</f>
        <v>40000</v>
      </c>
      <c r="C65" s="32" t="s">
        <v>25</v>
      </c>
      <c r="D65" s="35">
        <f>SUM(D61:D64)</f>
        <v>24000</v>
      </c>
    </row>
    <row r="66" spans="1:7" x14ac:dyDescent="0.25">
      <c r="A66" s="17" t="s">
        <v>13</v>
      </c>
      <c r="B66" s="27">
        <f>D55</f>
        <v>2100</v>
      </c>
      <c r="C66" s="17" t="s">
        <v>13</v>
      </c>
      <c r="D66" s="30">
        <f>D55</f>
        <v>2100</v>
      </c>
    </row>
    <row r="67" spans="1:7" x14ac:dyDescent="0.25">
      <c r="A67" s="21" t="s">
        <v>26</v>
      </c>
      <c r="B67" s="59">
        <f>B65/B66</f>
        <v>19.047619047619047</v>
      </c>
      <c r="C67" s="22" t="s">
        <v>27</v>
      </c>
      <c r="D67" s="60">
        <f>D65/D66</f>
        <v>11.428571428571429</v>
      </c>
    </row>
    <row r="70" spans="1:7" x14ac:dyDescent="0.25">
      <c r="A70" s="118" t="s">
        <v>55</v>
      </c>
      <c r="B70" s="119" t="s">
        <v>120</v>
      </c>
      <c r="C70" s="119" t="s">
        <v>121</v>
      </c>
      <c r="D70" s="120" t="s">
        <v>122</v>
      </c>
      <c r="E70" s="121" t="s">
        <v>221</v>
      </c>
    </row>
    <row r="71" spans="1:7" x14ac:dyDescent="0.25">
      <c r="A71" s="3" t="s">
        <v>28</v>
      </c>
      <c r="B71">
        <f>B24*B28</f>
        <v>10</v>
      </c>
      <c r="C71">
        <f t="shared" ref="C71:D71" si="25">C24*C28</f>
        <v>10.5</v>
      </c>
      <c r="D71" s="20">
        <f t="shared" si="25"/>
        <v>10</v>
      </c>
      <c r="E71" s="4">
        <f>D30</f>
        <v>48037.5</v>
      </c>
    </row>
    <row r="72" spans="1:7" x14ac:dyDescent="0.25">
      <c r="A72" s="3" t="s">
        <v>29</v>
      </c>
      <c r="B72">
        <f>B51</f>
        <v>30</v>
      </c>
      <c r="C72">
        <f t="shared" ref="C72:D72" si="26">C51</f>
        <v>40</v>
      </c>
      <c r="D72" s="20">
        <f t="shared" si="26"/>
        <v>30</v>
      </c>
      <c r="E72" s="4">
        <f>D56</f>
        <v>157500</v>
      </c>
    </row>
    <row r="73" spans="1:7" x14ac:dyDescent="0.25">
      <c r="A73" s="9" t="s">
        <v>59</v>
      </c>
      <c r="B73" s="10">
        <f>B71+B72</f>
        <v>40</v>
      </c>
      <c r="C73" s="10">
        <f t="shared" ref="C73:E73" si="27">C71+C72</f>
        <v>50.5</v>
      </c>
      <c r="D73" s="11">
        <f t="shared" si="27"/>
        <v>40</v>
      </c>
      <c r="E73" s="12">
        <f t="shared" si="27"/>
        <v>205537.5</v>
      </c>
    </row>
    <row r="74" spans="1:7" x14ac:dyDescent="0.25">
      <c r="A74" s="3" t="s">
        <v>56</v>
      </c>
      <c r="B74" s="27">
        <f>B50*$D$67</f>
        <v>2.8571428571428572</v>
      </c>
      <c r="C74" s="27">
        <f t="shared" ref="C74:D74" si="28">C50*$D$67</f>
        <v>5.7142857142857144</v>
      </c>
      <c r="D74" s="30">
        <f t="shared" si="28"/>
        <v>8.5714285714285712</v>
      </c>
      <c r="E74" s="4">
        <f>D65</f>
        <v>24000</v>
      </c>
    </row>
    <row r="75" spans="1:7" x14ac:dyDescent="0.25">
      <c r="A75" s="3" t="s">
        <v>57</v>
      </c>
      <c r="B75" s="27">
        <f>B50*$B$67</f>
        <v>4.7619047619047619</v>
      </c>
      <c r="C75" s="27">
        <f t="shared" ref="C75:D75" si="29">C50*$B$67</f>
        <v>9.5238095238095237</v>
      </c>
      <c r="D75" s="30">
        <f t="shared" si="29"/>
        <v>14.285714285714285</v>
      </c>
      <c r="E75" s="4">
        <f>B65</f>
        <v>40000</v>
      </c>
    </row>
    <row r="76" spans="1:7" x14ac:dyDescent="0.25">
      <c r="A76" s="21" t="s">
        <v>222</v>
      </c>
      <c r="B76" s="49">
        <f>SUM(B73:B75)</f>
        <v>47.619047619047613</v>
      </c>
      <c r="C76" s="49">
        <f>SUM(C73:C75)</f>
        <v>65.738095238095241</v>
      </c>
      <c r="D76" s="55">
        <f>SUM(D73:D75)</f>
        <v>62.857142857142854</v>
      </c>
      <c r="E76" s="12">
        <f>SUM(E73:E75)</f>
        <v>269537.5</v>
      </c>
      <c r="G76" s="15"/>
    </row>
    <row r="77" spans="1:7" x14ac:dyDescent="0.25">
      <c r="A77" s="3" t="s">
        <v>30</v>
      </c>
      <c r="B77">
        <f>B15</f>
        <v>2100</v>
      </c>
      <c r="C77">
        <f t="shared" ref="C77:D77" si="30">C15</f>
        <v>1575</v>
      </c>
      <c r="D77" s="20">
        <f t="shared" si="30"/>
        <v>1050</v>
      </c>
      <c r="E77" s="4"/>
    </row>
    <row r="78" spans="1:7" x14ac:dyDescent="0.25">
      <c r="A78" s="21" t="s">
        <v>223</v>
      </c>
      <c r="B78" s="34">
        <f>B77*B76</f>
        <v>99999.999999999985</v>
      </c>
      <c r="C78" s="34">
        <f t="shared" ref="C78:D78" si="31">C77*C76</f>
        <v>103537.5</v>
      </c>
      <c r="D78" s="35">
        <f t="shared" si="31"/>
        <v>66000</v>
      </c>
      <c r="E78" s="35">
        <f>SUM(B78:D78)</f>
        <v>269537.5</v>
      </c>
    </row>
    <row r="79" spans="1:7" x14ac:dyDescent="0.25">
      <c r="E79" s="15">
        <f>E76-E78</f>
        <v>0</v>
      </c>
    </row>
    <row r="80" spans="1:7" x14ac:dyDescent="0.25">
      <c r="E80" s="15"/>
    </row>
    <row r="82" spans="1:5" x14ac:dyDescent="0.25">
      <c r="A82" s="8" t="s">
        <v>38</v>
      </c>
      <c r="B82" s="116" t="s">
        <v>120</v>
      </c>
      <c r="C82" s="116" t="s">
        <v>121</v>
      </c>
      <c r="D82" s="117" t="s">
        <v>122</v>
      </c>
      <c r="E82" s="2" t="s">
        <v>221</v>
      </c>
    </row>
    <row r="83" spans="1:5" x14ac:dyDescent="0.25">
      <c r="A83" s="17" t="s">
        <v>61</v>
      </c>
      <c r="B83">
        <f>B12</f>
        <v>200</v>
      </c>
      <c r="C83">
        <f t="shared" ref="C83:D83" si="32">C12</f>
        <v>150</v>
      </c>
      <c r="D83" s="20">
        <f t="shared" si="32"/>
        <v>100</v>
      </c>
      <c r="E83" s="20"/>
    </row>
    <row r="84" spans="1:5" x14ac:dyDescent="0.25">
      <c r="A84" s="17" t="s">
        <v>60</v>
      </c>
      <c r="B84" s="27">
        <f>B76</f>
        <v>47.619047619047613</v>
      </c>
      <c r="C84" s="27">
        <f t="shared" ref="C84:D84" si="33">C76</f>
        <v>65.738095238095241</v>
      </c>
      <c r="D84" s="30">
        <f t="shared" si="33"/>
        <v>62.857142857142854</v>
      </c>
      <c r="E84" s="20"/>
    </row>
    <row r="85" spans="1:5" x14ac:dyDescent="0.25">
      <c r="A85" s="24" t="s">
        <v>63</v>
      </c>
      <c r="B85" s="37">
        <f>B83*B84</f>
        <v>9523.8095238095229</v>
      </c>
      <c r="C85" s="37">
        <f t="shared" ref="C85:D85" si="34">C83*C84</f>
        <v>9860.7142857142862</v>
      </c>
      <c r="D85" s="45">
        <f t="shared" si="34"/>
        <v>6285.7142857142853</v>
      </c>
      <c r="E85" s="6">
        <f>SUM(B85:D85)</f>
        <v>25670.238095238095</v>
      </c>
    </row>
    <row r="86" spans="1:5" x14ac:dyDescent="0.25">
      <c r="A86" s="3"/>
      <c r="E86" s="20"/>
    </row>
    <row r="87" spans="1:5" x14ac:dyDescent="0.25">
      <c r="A87" s="56" t="s">
        <v>62</v>
      </c>
      <c r="B87" s="25">
        <f>B14</f>
        <v>100</v>
      </c>
      <c r="C87" s="25">
        <f t="shared" ref="C87:D87" si="35">C14</f>
        <v>75</v>
      </c>
      <c r="D87" s="44">
        <f t="shared" si="35"/>
        <v>50</v>
      </c>
      <c r="E87" s="44"/>
    </row>
    <row r="88" spans="1:5" x14ac:dyDescent="0.25">
      <c r="A88" s="17" t="s">
        <v>60</v>
      </c>
      <c r="B88" s="27">
        <f>B76</f>
        <v>47.619047619047613</v>
      </c>
      <c r="C88" s="27">
        <f t="shared" ref="C88:D88" si="36">C76</f>
        <v>65.738095238095241</v>
      </c>
      <c r="D88" s="30">
        <f t="shared" si="36"/>
        <v>62.857142857142854</v>
      </c>
      <c r="E88" s="20"/>
    </row>
    <row r="89" spans="1:5" x14ac:dyDescent="0.25">
      <c r="A89" s="24" t="s">
        <v>64</v>
      </c>
      <c r="B89" s="37">
        <f>B87*B88</f>
        <v>4761.9047619047615</v>
      </c>
      <c r="C89" s="37">
        <f t="shared" ref="C89" si="37">C87*C88</f>
        <v>4930.3571428571431</v>
      </c>
      <c r="D89" s="45">
        <f t="shared" ref="D89" si="38">D87*D88</f>
        <v>3142.8571428571427</v>
      </c>
      <c r="E89" s="6">
        <f>SUM(B89:D89)</f>
        <v>12835.119047619048</v>
      </c>
    </row>
    <row r="92" spans="1:5" x14ac:dyDescent="0.25">
      <c r="A92" s="8" t="s">
        <v>65</v>
      </c>
      <c r="B92" s="116" t="s">
        <v>120</v>
      </c>
      <c r="C92" s="116" t="s">
        <v>121</v>
      </c>
      <c r="D92" s="117" t="s">
        <v>122</v>
      </c>
      <c r="E92" s="2" t="s">
        <v>221</v>
      </c>
    </row>
    <row r="93" spans="1:5" x14ac:dyDescent="0.25">
      <c r="A93" s="17" t="s">
        <v>61</v>
      </c>
      <c r="B93" s="27">
        <f>B35</f>
        <v>315</v>
      </c>
      <c r="C93" s="27">
        <f t="shared" ref="C93:D93" si="39">C35</f>
        <v>236.25</v>
      </c>
      <c r="D93" s="30">
        <f t="shared" si="39"/>
        <v>157.5</v>
      </c>
      <c r="E93" s="20"/>
    </row>
    <row r="94" spans="1:5" x14ac:dyDescent="0.25">
      <c r="A94" s="17" t="s">
        <v>66</v>
      </c>
      <c r="B94">
        <f>B24</f>
        <v>2</v>
      </c>
      <c r="C94">
        <f t="shared" ref="C94:D94" si="40">C24</f>
        <v>1.5</v>
      </c>
      <c r="D94" s="20">
        <f t="shared" si="40"/>
        <v>1</v>
      </c>
      <c r="E94" s="20"/>
    </row>
    <row r="95" spans="1:5" x14ac:dyDescent="0.25">
      <c r="A95" s="17" t="s">
        <v>67</v>
      </c>
      <c r="B95" s="27">
        <f>B93*B94</f>
        <v>630</v>
      </c>
      <c r="C95" s="27">
        <f t="shared" ref="C95:D95" si="41">C93*C94</f>
        <v>354.375</v>
      </c>
      <c r="D95" s="30">
        <f t="shared" si="41"/>
        <v>157.5</v>
      </c>
      <c r="E95" s="20"/>
    </row>
    <row r="96" spans="1:5" x14ac:dyDescent="0.25">
      <c r="A96" s="17" t="s">
        <v>37</v>
      </c>
      <c r="B96">
        <f>B28</f>
        <v>5</v>
      </c>
      <c r="C96">
        <f t="shared" ref="C96:D96" si="42">C28</f>
        <v>7</v>
      </c>
      <c r="D96" s="20">
        <f t="shared" si="42"/>
        <v>10</v>
      </c>
      <c r="E96" s="20"/>
    </row>
    <row r="97" spans="1:8" x14ac:dyDescent="0.25">
      <c r="A97" s="24" t="s">
        <v>63</v>
      </c>
      <c r="B97" s="37">
        <f>B95*B96</f>
        <v>3150</v>
      </c>
      <c r="C97" s="37">
        <f t="shared" ref="C97:D97" si="43">C95*C96</f>
        <v>2480.625</v>
      </c>
      <c r="D97" s="45">
        <f t="shared" si="43"/>
        <v>1575</v>
      </c>
      <c r="E97" s="6">
        <f>SUM(B97:D97)</f>
        <v>7205.625</v>
      </c>
    </row>
    <row r="98" spans="1:8" x14ac:dyDescent="0.25">
      <c r="A98" s="3"/>
      <c r="E98" s="20"/>
    </row>
    <row r="99" spans="1:8" x14ac:dyDescent="0.25">
      <c r="A99" s="56" t="s">
        <v>62</v>
      </c>
      <c r="B99" s="26">
        <f>B37</f>
        <v>157.5</v>
      </c>
      <c r="C99" s="26">
        <f t="shared" ref="C99:D99" si="44">C37</f>
        <v>118.125</v>
      </c>
      <c r="D99" s="29">
        <f t="shared" si="44"/>
        <v>78.75</v>
      </c>
      <c r="E99" s="44"/>
    </row>
    <row r="100" spans="1:8" x14ac:dyDescent="0.25">
      <c r="A100" s="17" t="s">
        <v>66</v>
      </c>
      <c r="B100">
        <f>B24</f>
        <v>2</v>
      </c>
      <c r="C100">
        <f t="shared" ref="C100:D100" si="45">C24</f>
        <v>1.5</v>
      </c>
      <c r="D100" s="20">
        <f t="shared" si="45"/>
        <v>1</v>
      </c>
      <c r="E100" s="20"/>
    </row>
    <row r="101" spans="1:8" x14ac:dyDescent="0.25">
      <c r="A101" s="17" t="s">
        <v>67</v>
      </c>
      <c r="B101" s="27">
        <f>B99*B100</f>
        <v>315</v>
      </c>
      <c r="C101" s="27">
        <f t="shared" ref="C101" si="46">C99*C100</f>
        <v>177.1875</v>
      </c>
      <c r="D101" s="30">
        <f t="shared" ref="D101" si="47">D99*D100</f>
        <v>78.75</v>
      </c>
      <c r="E101" s="20"/>
    </row>
    <row r="102" spans="1:8" x14ac:dyDescent="0.25">
      <c r="A102" s="17" t="s">
        <v>37</v>
      </c>
      <c r="B102">
        <f>B43</f>
        <v>5</v>
      </c>
      <c r="C102">
        <f t="shared" ref="C102:D102" si="48">C43</f>
        <v>7</v>
      </c>
      <c r="D102" s="20">
        <f t="shared" si="48"/>
        <v>10</v>
      </c>
      <c r="E102" s="20"/>
    </row>
    <row r="103" spans="1:8" x14ac:dyDescent="0.25">
      <c r="A103" s="24" t="s">
        <v>64</v>
      </c>
      <c r="B103" s="37">
        <f>B101*B102</f>
        <v>1575</v>
      </c>
      <c r="C103" s="37">
        <f t="shared" ref="C103" si="49">C101*C102</f>
        <v>1240.3125</v>
      </c>
      <c r="D103" s="45">
        <f t="shared" ref="D103" si="50">D101*D102</f>
        <v>787.5</v>
      </c>
      <c r="E103" s="6">
        <f>SUM(B103:D103)</f>
        <v>3602.8125</v>
      </c>
    </row>
    <row r="106" spans="1:8" x14ac:dyDescent="0.25">
      <c r="A106" s="8" t="s">
        <v>39</v>
      </c>
      <c r="B106" s="116" t="s">
        <v>120</v>
      </c>
      <c r="C106" s="116" t="s">
        <v>121</v>
      </c>
      <c r="D106" s="117" t="s">
        <v>122</v>
      </c>
      <c r="E106" s="8" t="s">
        <v>3</v>
      </c>
      <c r="F106" s="122" t="s">
        <v>4</v>
      </c>
      <c r="G106" s="123" t="s">
        <v>32</v>
      </c>
      <c r="H106" s="124" t="s">
        <v>119</v>
      </c>
    </row>
    <row r="107" spans="1:8" x14ac:dyDescent="0.25">
      <c r="A107" s="3" t="s">
        <v>43</v>
      </c>
      <c r="B107" s="15">
        <f>B89</f>
        <v>4761.9047619047615</v>
      </c>
      <c r="C107" s="15">
        <f t="shared" ref="C107:D107" si="51">C89</f>
        <v>4930.3571428571431</v>
      </c>
      <c r="D107" s="43">
        <f t="shared" si="51"/>
        <v>3142.8571428571427</v>
      </c>
      <c r="E107" s="57">
        <f>SUM(B107:D107)</f>
        <v>12835.119047619048</v>
      </c>
      <c r="F107" s="36">
        <f>E110</f>
        <v>25670.238095238095</v>
      </c>
      <c r="G107" s="36">
        <f>F110</f>
        <v>30948.761904761908</v>
      </c>
      <c r="H107" s="4">
        <f>G110</f>
        <v>38035.94666666667</v>
      </c>
    </row>
    <row r="108" spans="1:8" x14ac:dyDescent="0.25">
      <c r="A108" s="3" t="s">
        <v>68</v>
      </c>
      <c r="B108" s="36">
        <f>B15*B76</f>
        <v>99999.999999999985</v>
      </c>
      <c r="C108" s="36">
        <f>C15*C76</f>
        <v>103537.5</v>
      </c>
      <c r="D108" s="4">
        <f>D15*D76</f>
        <v>66000</v>
      </c>
      <c r="E108" s="57">
        <f t="shared" ref="E108:E111" si="52">SUM(B108:D108)</f>
        <v>269537.5</v>
      </c>
      <c r="F108" s="36">
        <f>F111+F110-F107</f>
        <v>314766.14285714284</v>
      </c>
      <c r="G108" s="36">
        <f>G111+G110-G107</f>
        <v>387446.65142857144</v>
      </c>
      <c r="H108" s="4">
        <f>H111+H110-H107</f>
        <v>487148.82102857158</v>
      </c>
    </row>
    <row r="109" spans="1:8" x14ac:dyDescent="0.25">
      <c r="A109" s="9" t="s">
        <v>40</v>
      </c>
      <c r="B109" s="14">
        <f>B107+B108</f>
        <v>104761.90476190475</v>
      </c>
      <c r="C109" s="14">
        <f t="shared" ref="C109:D109" si="53">C107+C108</f>
        <v>108467.85714285714</v>
      </c>
      <c r="D109" s="12">
        <f t="shared" si="53"/>
        <v>69142.857142857145</v>
      </c>
      <c r="E109" s="58">
        <f t="shared" si="52"/>
        <v>282372.61904761905</v>
      </c>
      <c r="F109" s="14">
        <f>F107+F108</f>
        <v>340436.38095238095</v>
      </c>
      <c r="G109" s="14">
        <f t="shared" ref="G109:H109" si="54">G107+G108</f>
        <v>418395.41333333333</v>
      </c>
      <c r="H109" s="12">
        <f t="shared" si="54"/>
        <v>525184.76769523823</v>
      </c>
    </row>
    <row r="110" spans="1:8" x14ac:dyDescent="0.25">
      <c r="A110" s="3" t="s">
        <v>41</v>
      </c>
      <c r="B110" s="15">
        <f>B85</f>
        <v>9523.8095238095229</v>
      </c>
      <c r="C110" s="15">
        <f t="shared" ref="C110:D110" si="55">C85</f>
        <v>9860.7142857142862</v>
      </c>
      <c r="D110" s="43">
        <f t="shared" si="55"/>
        <v>6285.7142857142853</v>
      </c>
      <c r="E110" s="57">
        <f t="shared" si="52"/>
        <v>25670.238095238095</v>
      </c>
      <c r="F110" s="36">
        <f>F111*0.1</f>
        <v>30948.761904761908</v>
      </c>
      <c r="G110" s="36">
        <f t="shared" ref="G110:H110" si="56">G111*0.1</f>
        <v>38035.94666666667</v>
      </c>
      <c r="H110" s="4">
        <f t="shared" si="56"/>
        <v>47744.069790476206</v>
      </c>
    </row>
    <row r="111" spans="1:8" x14ac:dyDescent="0.25">
      <c r="A111" s="21" t="s">
        <v>224</v>
      </c>
      <c r="B111" s="38">
        <f>B109-B110</f>
        <v>95238.095238095222</v>
      </c>
      <c r="C111" s="38">
        <f t="shared" ref="C111:D111" si="57">C109-C110</f>
        <v>98607.142857142855</v>
      </c>
      <c r="D111" s="16">
        <f t="shared" si="57"/>
        <v>62857.142857142862</v>
      </c>
      <c r="E111" s="115">
        <f t="shared" si="52"/>
        <v>256702.38095238095</v>
      </c>
      <c r="F111" s="33">
        <f>'Income Statement'!G9</f>
        <v>309487.61904761905</v>
      </c>
      <c r="G111" s="34">
        <f>'Income Statement'!H9</f>
        <v>380359.46666666667</v>
      </c>
      <c r="H111" s="35">
        <f>'Income Statement'!I9</f>
        <v>477440.697904762</v>
      </c>
    </row>
    <row r="112" spans="1:8" x14ac:dyDescent="0.25">
      <c r="F112" s="15"/>
    </row>
    <row r="113" spans="1:10" ht="15.75" thickBot="1" x14ac:dyDescent="0.3"/>
    <row r="114" spans="1:10" ht="15.75" thickBot="1" x14ac:dyDescent="0.3">
      <c r="A114" s="245" t="s">
        <v>97</v>
      </c>
      <c r="B114" s="246"/>
      <c r="C114" s="246"/>
      <c r="D114" s="246"/>
      <c r="E114" s="246"/>
      <c r="F114" s="246"/>
      <c r="G114" s="246"/>
      <c r="H114" s="246"/>
      <c r="I114" s="246"/>
      <c r="J114" s="247"/>
    </row>
    <row r="115" spans="1:10" x14ac:dyDescent="0.25">
      <c r="A115" s="61"/>
      <c r="B115" s="242" t="s">
        <v>70</v>
      </c>
      <c r="C115" s="242"/>
      <c r="D115" s="242"/>
      <c r="E115" s="242"/>
      <c r="F115" s="243" t="s">
        <v>76</v>
      </c>
      <c r="G115" s="243"/>
      <c r="H115" s="243"/>
      <c r="I115" s="243"/>
      <c r="J115" s="244"/>
    </row>
    <row r="116" spans="1:10" x14ac:dyDescent="0.25">
      <c r="A116" s="61" t="s">
        <v>98</v>
      </c>
      <c r="B116" s="13" t="s">
        <v>71</v>
      </c>
      <c r="C116" s="13" t="s">
        <v>72</v>
      </c>
      <c r="D116" s="13" t="s">
        <v>73</v>
      </c>
      <c r="E116" s="13" t="s">
        <v>74</v>
      </c>
      <c r="F116" s="107" t="s">
        <v>75</v>
      </c>
      <c r="G116" s="107" t="s">
        <v>77</v>
      </c>
      <c r="H116" s="107" t="s">
        <v>78</v>
      </c>
      <c r="I116" s="107" t="s">
        <v>79</v>
      </c>
      <c r="J116" s="108" t="s">
        <v>80</v>
      </c>
    </row>
    <row r="117" spans="1:10" x14ac:dyDescent="0.25">
      <c r="A117" s="65" t="s">
        <v>99</v>
      </c>
      <c r="B117" s="36">
        <v>200000</v>
      </c>
      <c r="C117" s="15">
        <f>B141</f>
        <v>427745.51711309527</v>
      </c>
      <c r="D117" s="15">
        <f t="shared" ref="D117:E117" si="58">C141</f>
        <v>675555.74851190485</v>
      </c>
      <c r="E117" s="15">
        <f t="shared" si="58"/>
        <v>915077.44633928582</v>
      </c>
      <c r="F117" s="36">
        <f>B117</f>
        <v>200000</v>
      </c>
      <c r="G117" s="36">
        <f>F141</f>
        <v>1200187.6636904762</v>
      </c>
      <c r="H117" s="36">
        <f>G141</f>
        <v>1888787.8355654762</v>
      </c>
      <c r="I117" s="36">
        <f>H141</f>
        <v>2744437.0160342259</v>
      </c>
      <c r="J117" s="66">
        <f>I141</f>
        <v>4028365.4355264129</v>
      </c>
    </row>
    <row r="118" spans="1:10" x14ac:dyDescent="0.25">
      <c r="A118" s="65" t="s">
        <v>100</v>
      </c>
      <c r="F118" s="36"/>
      <c r="G118" s="36"/>
      <c r="H118" s="36"/>
      <c r="I118" s="36"/>
      <c r="J118" s="66"/>
    </row>
    <row r="119" spans="1:10" x14ac:dyDescent="0.25">
      <c r="A119" s="65" t="s">
        <v>120</v>
      </c>
      <c r="B119" s="15">
        <f>$D$4*0.85/4</f>
        <v>85000</v>
      </c>
      <c r="C119" s="15">
        <f t="shared" ref="C119:E119" si="59">$D$4*0.85/4</f>
        <v>85000</v>
      </c>
      <c r="D119" s="15">
        <f t="shared" si="59"/>
        <v>85000</v>
      </c>
      <c r="E119" s="15">
        <f t="shared" si="59"/>
        <v>85000</v>
      </c>
      <c r="F119" s="36">
        <f>SUM(B119:E119)</f>
        <v>340000</v>
      </c>
      <c r="G119" s="36">
        <f>'Income Statement'!G5*0.85</f>
        <v>374000.00000000006</v>
      </c>
      <c r="H119" s="36">
        <f>'Income Statement'!H5*0.85</f>
        <v>411400.00000000012</v>
      </c>
      <c r="I119" s="36">
        <f>'Income Statement'!I5*0.85</f>
        <v>452540.00000000006</v>
      </c>
      <c r="J119" s="66">
        <f>'Income Statement'!J5*0.85</f>
        <v>497794.00000000017</v>
      </c>
    </row>
    <row r="120" spans="1:10" x14ac:dyDescent="0.25">
      <c r="A120" s="65" t="s">
        <v>121</v>
      </c>
      <c r="B120" s="15">
        <f>$D$5*0.85/4</f>
        <v>47812.5</v>
      </c>
      <c r="C120" s="15">
        <f t="shared" ref="C120:E120" si="60">$D$5*0.85/4</f>
        <v>47812.5</v>
      </c>
      <c r="D120" s="15">
        <f t="shared" si="60"/>
        <v>47812.5</v>
      </c>
      <c r="E120" s="15">
        <f t="shared" si="60"/>
        <v>47812.5</v>
      </c>
      <c r="F120" s="36">
        <f t="shared" ref="F120:F124" si="61">SUM(B120:E120)</f>
        <v>191250</v>
      </c>
      <c r="G120" s="36">
        <f>'Income Statement'!G6*0.85</f>
        <v>214200.00000000003</v>
      </c>
      <c r="H120" s="36">
        <f>'Income Statement'!H6*0.85</f>
        <v>239904.00000000003</v>
      </c>
      <c r="I120" s="36">
        <f>'Income Statement'!I6*0.85</f>
        <v>268692.4800000001</v>
      </c>
      <c r="J120" s="66">
        <f>'Income Statement'!J6*0.85</f>
        <v>300935.57760000014</v>
      </c>
    </row>
    <row r="121" spans="1:10" x14ac:dyDescent="0.25">
      <c r="A121" s="65" t="s">
        <v>122</v>
      </c>
      <c r="B121" s="15">
        <f>$D$6*0.85/4</f>
        <v>63750</v>
      </c>
      <c r="C121" s="15">
        <f t="shared" ref="C121:E121" si="62">$D$6*0.85/4</f>
        <v>63750</v>
      </c>
      <c r="D121" s="15">
        <f t="shared" si="62"/>
        <v>63750</v>
      </c>
      <c r="E121" s="15">
        <f t="shared" si="62"/>
        <v>63750</v>
      </c>
      <c r="F121" s="36">
        <f>SUM(B121:E121)</f>
        <v>255000</v>
      </c>
      <c r="G121" s="36">
        <f>'Income Statement'!G7*0.85</f>
        <v>382500</v>
      </c>
      <c r="H121" s="36">
        <f>'Income Statement'!H7*0.85</f>
        <v>573750</v>
      </c>
      <c r="I121" s="36">
        <f>'Income Statement'!I7*0.85</f>
        <v>860625</v>
      </c>
      <c r="J121" s="66">
        <f>'Income Statement'!J7*0.85</f>
        <v>1290937.5</v>
      </c>
    </row>
    <row r="122" spans="1:10" x14ac:dyDescent="0.25">
      <c r="A122" s="65" t="s">
        <v>101</v>
      </c>
      <c r="F122" s="36">
        <f t="shared" si="61"/>
        <v>0</v>
      </c>
      <c r="G122" s="36"/>
      <c r="H122" s="36"/>
      <c r="I122" s="36"/>
      <c r="J122" s="66"/>
    </row>
    <row r="123" spans="1:10" x14ac:dyDescent="0.25">
      <c r="A123" s="65" t="s">
        <v>102</v>
      </c>
      <c r="F123" s="36">
        <f t="shared" si="61"/>
        <v>0</v>
      </c>
      <c r="G123" s="36"/>
      <c r="H123" s="36"/>
      <c r="I123" s="36"/>
      <c r="J123" s="66"/>
    </row>
    <row r="124" spans="1:10" x14ac:dyDescent="0.25">
      <c r="A124" s="65" t="s">
        <v>118</v>
      </c>
      <c r="B124">
        <v>25000</v>
      </c>
      <c r="C124" s="15">
        <f>SUM(B119:B121)</f>
        <v>196562.5</v>
      </c>
      <c r="D124" s="15">
        <f t="shared" ref="D124:E124" si="63">SUM(C119:C121)</f>
        <v>196562.5</v>
      </c>
      <c r="E124" s="15">
        <f t="shared" si="63"/>
        <v>196562.5</v>
      </c>
      <c r="F124" s="36">
        <f t="shared" si="61"/>
        <v>614687.5</v>
      </c>
      <c r="G124" s="36">
        <f>'Income Statement'!F8-SUM(F119:F121)</f>
        <v>138750</v>
      </c>
      <c r="H124" s="36">
        <f>'Income Statement'!G8-SUM(G119:G121)</f>
        <v>171299.99999999988</v>
      </c>
      <c r="I124" s="36">
        <f>'Income Statement'!H8-SUM(H119:H121)</f>
        <v>216186.00000000023</v>
      </c>
      <c r="J124" s="66">
        <f>'Income Statement'!I8-SUM(I119:I121)</f>
        <v>279151.32000000007</v>
      </c>
    </row>
    <row r="125" spans="1:10" x14ac:dyDescent="0.25">
      <c r="A125" s="109" t="s">
        <v>103</v>
      </c>
      <c r="B125" s="38">
        <f>SUM(B117:B124)</f>
        <v>421562.5</v>
      </c>
      <c r="C125" s="38">
        <f t="shared" ref="C125:J125" si="64">SUM(C117:C124)</f>
        <v>820870.51711309527</v>
      </c>
      <c r="D125" s="38">
        <f t="shared" si="64"/>
        <v>1068680.7485119049</v>
      </c>
      <c r="E125" s="38">
        <f t="shared" si="64"/>
        <v>1308202.4463392859</v>
      </c>
      <c r="F125" s="34">
        <f t="shared" si="64"/>
        <v>1600937.5</v>
      </c>
      <c r="G125" s="34">
        <f t="shared" si="64"/>
        <v>2309637.6636904762</v>
      </c>
      <c r="H125" s="34">
        <f t="shared" si="64"/>
        <v>3285141.8355654762</v>
      </c>
      <c r="I125" s="34">
        <f t="shared" si="64"/>
        <v>4542480.4960342254</v>
      </c>
      <c r="J125" s="110">
        <f t="shared" si="64"/>
        <v>6397183.8331264136</v>
      </c>
    </row>
    <row r="126" spans="1:10" x14ac:dyDescent="0.25">
      <c r="A126" s="63" t="s">
        <v>104</v>
      </c>
      <c r="F126" s="36"/>
      <c r="G126" s="36"/>
      <c r="H126" s="36"/>
      <c r="I126" s="36"/>
      <c r="J126" s="66"/>
    </row>
    <row r="127" spans="1:10" x14ac:dyDescent="0.25">
      <c r="A127" s="65" t="s">
        <v>28</v>
      </c>
      <c r="B127" s="15">
        <f>$D$45/4</f>
        <v>12910.078125</v>
      </c>
      <c r="C127" s="15">
        <f t="shared" ref="C127:E127" si="65">$D$45/4</f>
        <v>12910.078125</v>
      </c>
      <c r="D127" s="15">
        <f t="shared" si="65"/>
        <v>12910.078125</v>
      </c>
      <c r="E127" s="15">
        <f t="shared" si="65"/>
        <v>12910.078125</v>
      </c>
      <c r="F127" s="36">
        <f>SUM(B127:E127)</f>
        <v>51640.3125</v>
      </c>
      <c r="G127" s="36">
        <f>F127*1.05</f>
        <v>54222.328125</v>
      </c>
      <c r="H127" s="36">
        <f t="shared" ref="H127:J127" si="66">G127*1.05</f>
        <v>56933.444531250003</v>
      </c>
      <c r="I127" s="36">
        <f t="shared" si="66"/>
        <v>59780.116757812502</v>
      </c>
      <c r="J127" s="66">
        <f t="shared" si="66"/>
        <v>62769.122595703127</v>
      </c>
    </row>
    <row r="128" spans="1:10" x14ac:dyDescent="0.25">
      <c r="A128" s="65" t="s">
        <v>29</v>
      </c>
      <c r="B128" s="15">
        <f>$D$56/4</f>
        <v>39375</v>
      </c>
      <c r="C128" s="15">
        <f t="shared" ref="C128:E128" si="67">$D$56/4</f>
        <v>39375</v>
      </c>
      <c r="D128" s="15">
        <f t="shared" si="67"/>
        <v>39375</v>
      </c>
      <c r="E128" s="15">
        <f t="shared" si="67"/>
        <v>39375</v>
      </c>
      <c r="F128" s="36">
        <f t="shared" ref="F128:F133" si="68">SUM(B128:E128)</f>
        <v>157500</v>
      </c>
      <c r="G128" s="36">
        <f t="shared" ref="G128:J128" si="69">F128*1.05</f>
        <v>165375</v>
      </c>
      <c r="H128" s="36">
        <f t="shared" si="69"/>
        <v>173643.75</v>
      </c>
      <c r="I128" s="36">
        <f t="shared" si="69"/>
        <v>182325.9375</v>
      </c>
      <c r="J128" s="66">
        <f t="shared" si="69"/>
        <v>191442.234375</v>
      </c>
    </row>
    <row r="129" spans="1:10" x14ac:dyDescent="0.25">
      <c r="A129" s="65" t="s">
        <v>105</v>
      </c>
      <c r="B129" s="15">
        <f>$D$65/4</f>
        <v>6000</v>
      </c>
      <c r="C129" s="15">
        <f t="shared" ref="C129:E129" si="70">$D$65/4</f>
        <v>6000</v>
      </c>
      <c r="D129" s="15">
        <f t="shared" si="70"/>
        <v>6000</v>
      </c>
      <c r="E129" s="15">
        <f t="shared" si="70"/>
        <v>6000</v>
      </c>
      <c r="F129" s="36">
        <f t="shared" si="68"/>
        <v>24000</v>
      </c>
      <c r="G129" s="36">
        <f t="shared" ref="G129:J129" si="71">F129*1.05</f>
        <v>25200</v>
      </c>
      <c r="H129" s="36">
        <f t="shared" si="71"/>
        <v>26460</v>
      </c>
      <c r="I129" s="36">
        <f t="shared" si="71"/>
        <v>27783</v>
      </c>
      <c r="J129" s="66">
        <f t="shared" si="71"/>
        <v>29172.15</v>
      </c>
    </row>
    <row r="130" spans="1:10" x14ac:dyDescent="0.25">
      <c r="A130" s="65" t="s">
        <v>106</v>
      </c>
      <c r="B130" s="15">
        <f>$B$65/4</f>
        <v>10000</v>
      </c>
      <c r="C130" s="15">
        <f t="shared" ref="C130:E130" si="72">$B$65/4</f>
        <v>10000</v>
      </c>
      <c r="D130" s="15">
        <f t="shared" si="72"/>
        <v>10000</v>
      </c>
      <c r="E130" s="15">
        <f t="shared" si="72"/>
        <v>10000</v>
      </c>
      <c r="F130" s="36">
        <f t="shared" si="68"/>
        <v>40000</v>
      </c>
      <c r="G130" s="36">
        <f t="shared" ref="G130:J130" si="73">F130*1.05</f>
        <v>42000</v>
      </c>
      <c r="H130" s="36">
        <f t="shared" si="73"/>
        <v>44100</v>
      </c>
      <c r="I130" s="36">
        <f t="shared" si="73"/>
        <v>46305</v>
      </c>
      <c r="J130" s="66">
        <f t="shared" si="73"/>
        <v>48620.25</v>
      </c>
    </row>
    <row r="131" spans="1:10" x14ac:dyDescent="0.25">
      <c r="A131" s="65" t="s">
        <v>107</v>
      </c>
      <c r="B131" s="36">
        <v>0</v>
      </c>
      <c r="C131" s="36">
        <v>0</v>
      </c>
      <c r="D131" s="36">
        <v>0</v>
      </c>
      <c r="E131" s="36">
        <v>0</v>
      </c>
      <c r="F131" s="36">
        <f t="shared" si="68"/>
        <v>0</v>
      </c>
      <c r="G131" s="36">
        <f t="shared" ref="G131:J131" si="74">F131*1.05</f>
        <v>0</v>
      </c>
      <c r="H131" s="36">
        <f t="shared" si="74"/>
        <v>0</v>
      </c>
      <c r="I131" s="36">
        <f t="shared" si="74"/>
        <v>0</v>
      </c>
      <c r="J131" s="66">
        <f t="shared" si="74"/>
        <v>0</v>
      </c>
    </row>
    <row r="132" spans="1:10" x14ac:dyDescent="0.25">
      <c r="A132" s="65" t="s">
        <v>108</v>
      </c>
      <c r="B132" s="36">
        <v>2000</v>
      </c>
      <c r="C132" s="36">
        <v>2000</v>
      </c>
      <c r="D132" s="36">
        <v>2000</v>
      </c>
      <c r="E132" s="36">
        <v>2000</v>
      </c>
      <c r="F132" s="36">
        <f t="shared" si="68"/>
        <v>8000</v>
      </c>
      <c r="G132" s="36">
        <f t="shared" ref="G132:J132" si="75">F132*1.05</f>
        <v>8400</v>
      </c>
      <c r="H132" s="36">
        <f t="shared" si="75"/>
        <v>8820</v>
      </c>
      <c r="I132" s="36">
        <f t="shared" si="75"/>
        <v>9261</v>
      </c>
      <c r="J132" s="66">
        <f t="shared" si="75"/>
        <v>9724.0500000000011</v>
      </c>
    </row>
    <row r="133" spans="1:10" x14ac:dyDescent="0.25">
      <c r="A133" s="65" t="s">
        <v>109</v>
      </c>
      <c r="B133" s="36">
        <f>'Income Statement'!B29</f>
        <v>23531.904761904763</v>
      </c>
      <c r="C133" s="36">
        <f>'Income Statement'!C29</f>
        <v>27529.690476190481</v>
      </c>
      <c r="D133" s="36">
        <f>'Income Statement'!D29</f>
        <v>32068.224047619042</v>
      </c>
      <c r="E133" s="36">
        <f>'Income Statement'!E29</f>
        <v>37729.704523809523</v>
      </c>
      <c r="F133" s="36">
        <f t="shared" si="68"/>
        <v>120859.52380952382</v>
      </c>
      <c r="G133" s="36">
        <f t="shared" ref="G133:J133" si="76">F133*1.05</f>
        <v>126902.50000000001</v>
      </c>
      <c r="H133" s="36">
        <f t="shared" si="76"/>
        <v>133247.62500000003</v>
      </c>
      <c r="I133" s="36">
        <f t="shared" si="76"/>
        <v>139910.00625000003</v>
      </c>
      <c r="J133" s="66">
        <f t="shared" si="76"/>
        <v>146905.50656250006</v>
      </c>
    </row>
    <row r="134" spans="1:10" x14ac:dyDescent="0.25">
      <c r="A134" s="109" t="s">
        <v>110</v>
      </c>
      <c r="B134" s="38">
        <f>SUM(B127:B133)</f>
        <v>93816.982886904763</v>
      </c>
      <c r="C134" s="38">
        <f t="shared" ref="C134:J134" si="77">SUM(C127:C133)</f>
        <v>97814.768601190473</v>
      </c>
      <c r="D134" s="38">
        <f t="shared" si="77"/>
        <v>102353.30217261903</v>
      </c>
      <c r="E134" s="38">
        <f t="shared" si="77"/>
        <v>108014.78264880952</v>
      </c>
      <c r="F134" s="34">
        <f t="shared" si="77"/>
        <v>401999.83630952379</v>
      </c>
      <c r="G134" s="34">
        <f t="shared" si="77"/>
        <v>422099.828125</v>
      </c>
      <c r="H134" s="34">
        <f t="shared" si="77"/>
        <v>443204.81953125005</v>
      </c>
      <c r="I134" s="34">
        <f t="shared" si="77"/>
        <v>465365.06050781254</v>
      </c>
      <c r="J134" s="110">
        <f t="shared" si="77"/>
        <v>488633.31353320321</v>
      </c>
    </row>
    <row r="135" spans="1:10" x14ac:dyDescent="0.25">
      <c r="A135" s="109" t="s">
        <v>111</v>
      </c>
      <c r="B135" s="38">
        <f>B125-B134</f>
        <v>327745.51711309527</v>
      </c>
      <c r="C135" s="38">
        <f t="shared" ref="C135:J135" si="78">C125-C134</f>
        <v>723055.74851190485</v>
      </c>
      <c r="D135" s="38">
        <f t="shared" si="78"/>
        <v>966327.44633928582</v>
      </c>
      <c r="E135" s="38">
        <f t="shared" si="78"/>
        <v>1200187.6636904764</v>
      </c>
      <c r="F135" s="34">
        <f t="shared" si="78"/>
        <v>1198937.6636904762</v>
      </c>
      <c r="G135" s="34">
        <f t="shared" si="78"/>
        <v>1887537.8355654762</v>
      </c>
      <c r="H135" s="34">
        <f t="shared" si="78"/>
        <v>2841937.0160342259</v>
      </c>
      <c r="I135" s="34">
        <f t="shared" si="78"/>
        <v>4077115.4355264129</v>
      </c>
      <c r="J135" s="110">
        <f t="shared" si="78"/>
        <v>5908550.5195932109</v>
      </c>
    </row>
    <row r="136" spans="1:10" x14ac:dyDescent="0.25">
      <c r="A136" s="63" t="s">
        <v>112</v>
      </c>
      <c r="F136" s="36">
        <f>SUM(B136:E136)</f>
        <v>0</v>
      </c>
      <c r="G136" s="36"/>
      <c r="H136" s="36"/>
      <c r="I136" s="36"/>
      <c r="J136" s="66"/>
    </row>
    <row r="137" spans="1:10" x14ac:dyDescent="0.25">
      <c r="A137" s="63" t="s">
        <v>113</v>
      </c>
      <c r="F137" s="36"/>
      <c r="G137" s="36"/>
      <c r="H137" s="36"/>
      <c r="I137" s="36"/>
      <c r="J137" s="66"/>
    </row>
    <row r="138" spans="1:10" x14ac:dyDescent="0.25">
      <c r="A138" s="65" t="s">
        <v>114</v>
      </c>
      <c r="B138" s="36">
        <v>-100000</v>
      </c>
      <c r="C138" s="36"/>
      <c r="D138" s="36"/>
      <c r="E138" s="36"/>
      <c r="F138" s="36">
        <f>SUM(B138:E138)</f>
        <v>-100000</v>
      </c>
      <c r="G138" s="36">
        <f>SUM(B138:E138)</f>
        <v>-100000</v>
      </c>
      <c r="H138" s="36">
        <f t="shared" ref="H138:J140" si="79">SUM(C138:F138)</f>
        <v>-100000</v>
      </c>
      <c r="I138" s="36">
        <f t="shared" si="79"/>
        <v>-200000</v>
      </c>
      <c r="J138" s="66">
        <f t="shared" si="79"/>
        <v>-300000</v>
      </c>
    </row>
    <row r="139" spans="1:10" x14ac:dyDescent="0.25">
      <c r="A139" s="65" t="s">
        <v>115</v>
      </c>
      <c r="B139" s="36"/>
      <c r="C139" s="36">
        <v>50000</v>
      </c>
      <c r="D139" s="36">
        <f>C139</f>
        <v>50000</v>
      </c>
      <c r="E139" s="36"/>
      <c r="F139" s="36">
        <f t="shared" ref="F139:F140" si="80">SUM(B139:E139)</f>
        <v>100000</v>
      </c>
      <c r="G139" s="36">
        <f t="shared" ref="G139:G140" si="81">SUM(B139:E139)</f>
        <v>100000</v>
      </c>
      <c r="H139" s="36">
        <f t="shared" si="79"/>
        <v>200000</v>
      </c>
      <c r="I139" s="36">
        <f t="shared" si="79"/>
        <v>250000</v>
      </c>
      <c r="J139" s="66">
        <f t="shared" si="79"/>
        <v>400000</v>
      </c>
    </row>
    <row r="140" spans="1:10" x14ac:dyDescent="0.25">
      <c r="A140" s="65" t="s">
        <v>116</v>
      </c>
      <c r="B140" s="36"/>
      <c r="C140" s="36">
        <v>-2500</v>
      </c>
      <c r="D140" s="36">
        <v>1250</v>
      </c>
      <c r="E140" s="36"/>
      <c r="F140" s="36">
        <f t="shared" si="80"/>
        <v>-1250</v>
      </c>
      <c r="G140" s="36">
        <f t="shared" si="81"/>
        <v>-1250</v>
      </c>
      <c r="H140" s="36">
        <f t="shared" si="79"/>
        <v>-2500</v>
      </c>
      <c r="I140" s="36">
        <f t="shared" si="79"/>
        <v>-1250</v>
      </c>
      <c r="J140" s="66">
        <f t="shared" si="79"/>
        <v>-5000</v>
      </c>
    </row>
    <row r="141" spans="1:10" ht="15.75" thickBot="1" x14ac:dyDescent="0.3">
      <c r="A141" s="111" t="s">
        <v>117</v>
      </c>
      <c r="B141" s="112">
        <f>B135-SUM(B138:B140)</f>
        <v>427745.51711309527</v>
      </c>
      <c r="C141" s="112">
        <f t="shared" ref="C141:J141" si="82">C135-SUM(C138:C140)</f>
        <v>675555.74851190485</v>
      </c>
      <c r="D141" s="112">
        <f t="shared" si="82"/>
        <v>915077.44633928582</v>
      </c>
      <c r="E141" s="112">
        <f t="shared" si="82"/>
        <v>1200187.6636904764</v>
      </c>
      <c r="F141" s="113">
        <f t="shared" si="82"/>
        <v>1200187.6636904762</v>
      </c>
      <c r="G141" s="113">
        <f t="shared" si="82"/>
        <v>1888787.8355654762</v>
      </c>
      <c r="H141" s="113">
        <f t="shared" si="82"/>
        <v>2744437.0160342259</v>
      </c>
      <c r="I141" s="113">
        <f t="shared" si="82"/>
        <v>4028365.4355264129</v>
      </c>
      <c r="J141" s="114">
        <f t="shared" si="82"/>
        <v>5813550.5195932109</v>
      </c>
    </row>
  </sheetData>
  <sheetProtection algorithmName="SHA-512" hashValue="JaDoq4idiOw7c3x9xwPafLzAj0mO4RWh/d4zezR7mhA57WdKf3XOzhkTcG69LUDwSrZuG6bvZMpwhlD24nNDlw==" saltValue="BBFiarkvK61q81ac+aIU7g==" spinCount="100000" sheet="1" objects="1" scenarios="1"/>
  <mergeCells count="7">
    <mergeCell ref="A2:D2"/>
    <mergeCell ref="A39:D39"/>
    <mergeCell ref="B115:E115"/>
    <mergeCell ref="F115:J115"/>
    <mergeCell ref="A114:J114"/>
    <mergeCell ref="A26:D26"/>
    <mergeCell ref="A59:D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A5CB-8269-4FA6-96EA-A53E3C648858}">
  <dimension ref="A1:O34"/>
  <sheetViews>
    <sheetView showGridLines="0" zoomScale="90" zoomScaleNormal="90" workbookViewId="0">
      <selection sqref="A1:J1"/>
    </sheetView>
  </sheetViews>
  <sheetFormatPr defaultRowHeight="15" x14ac:dyDescent="0.25"/>
  <cols>
    <col min="1" max="1" width="36.5703125" bestFit="1" customWidth="1"/>
    <col min="2" max="6" width="11.5703125" bestFit="1" customWidth="1"/>
    <col min="7" max="10" width="10.7109375" bestFit="1" customWidth="1"/>
    <col min="13" max="13" width="12.42578125" bestFit="1" customWidth="1"/>
    <col min="14" max="14" width="10.7109375" bestFit="1" customWidth="1"/>
    <col min="15" max="15" width="9.7109375" bestFit="1" customWidth="1"/>
  </cols>
  <sheetData>
    <row r="1" spans="1:15" x14ac:dyDescent="0.25">
      <c r="A1" s="248" t="s">
        <v>69</v>
      </c>
      <c r="B1" s="249"/>
      <c r="C1" s="249"/>
      <c r="D1" s="249"/>
      <c r="E1" s="249"/>
      <c r="F1" s="249"/>
      <c r="G1" s="249"/>
      <c r="H1" s="249"/>
      <c r="I1" s="249"/>
      <c r="J1" s="250"/>
    </row>
    <row r="2" spans="1:15" x14ac:dyDescent="0.25">
      <c r="A2" s="61"/>
      <c r="B2" s="242" t="s">
        <v>70</v>
      </c>
      <c r="C2" s="242"/>
      <c r="D2" s="242"/>
      <c r="E2" s="242"/>
      <c r="F2" s="242" t="s">
        <v>76</v>
      </c>
      <c r="G2" s="242"/>
      <c r="H2" s="242"/>
      <c r="I2" s="242"/>
      <c r="J2" s="251"/>
    </row>
    <row r="3" spans="1:15" x14ac:dyDescent="0.25">
      <c r="A3" s="61"/>
      <c r="B3" s="13" t="s">
        <v>71</v>
      </c>
      <c r="C3" s="13" t="s">
        <v>72</v>
      </c>
      <c r="D3" s="13" t="s">
        <v>73</v>
      </c>
      <c r="E3" s="13" t="s">
        <v>74</v>
      </c>
      <c r="F3" s="13" t="s">
        <v>75</v>
      </c>
      <c r="G3" s="13" t="s">
        <v>77</v>
      </c>
      <c r="H3" s="13" t="s">
        <v>78</v>
      </c>
      <c r="I3" s="13" t="s">
        <v>79</v>
      </c>
      <c r="J3" s="62" t="s">
        <v>80</v>
      </c>
      <c r="M3" s="144"/>
    </row>
    <row r="4" spans="1:15" x14ac:dyDescent="0.25">
      <c r="A4" s="63" t="s">
        <v>81</v>
      </c>
      <c r="J4" s="64"/>
    </row>
    <row r="5" spans="1:15" x14ac:dyDescent="0.25">
      <c r="A5" s="65" t="s">
        <v>120</v>
      </c>
      <c r="B5" s="36">
        <f>'Master Budget'!D4/5</f>
        <v>80000</v>
      </c>
      <c r="C5" s="36">
        <f>B5*1.15</f>
        <v>92000</v>
      </c>
      <c r="D5" s="36">
        <f>C5*1.15</f>
        <v>105799.99999999999</v>
      </c>
      <c r="E5" s="36">
        <f>'Master Budget'!D4-SUM('Income Statement'!B5:D5)</f>
        <v>122200</v>
      </c>
      <c r="F5" s="36">
        <f>SUM(B5:E5)</f>
        <v>400000</v>
      </c>
      <c r="G5" s="70">
        <f>F5*1.1</f>
        <v>440000.00000000006</v>
      </c>
      <c r="H5" s="70">
        <f t="shared" ref="H5:J5" si="0">G5*1.1</f>
        <v>484000.00000000012</v>
      </c>
      <c r="I5" s="70">
        <f t="shared" si="0"/>
        <v>532400.00000000012</v>
      </c>
      <c r="J5" s="72">
        <f t="shared" si="0"/>
        <v>585640.00000000023</v>
      </c>
      <c r="N5" s="15"/>
      <c r="O5" s="145"/>
    </row>
    <row r="6" spans="1:15" x14ac:dyDescent="0.25">
      <c r="A6" s="65" t="s">
        <v>121</v>
      </c>
      <c r="B6" s="36">
        <f>'Master Budget'!D5/5</f>
        <v>45000</v>
      </c>
      <c r="C6" s="36">
        <f t="shared" ref="C6:D7" si="1">B6*1.15</f>
        <v>51749.999999999993</v>
      </c>
      <c r="D6" s="36">
        <f t="shared" si="1"/>
        <v>59512.499999999985</v>
      </c>
      <c r="E6" s="36">
        <f>'Master Budget'!D5-SUM('Income Statement'!B6:D6)</f>
        <v>68737.5</v>
      </c>
      <c r="F6" s="36">
        <f>SUM(B6:E6)</f>
        <v>225000</v>
      </c>
      <c r="G6" s="70">
        <f>F6*1.12</f>
        <v>252000.00000000003</v>
      </c>
      <c r="H6" s="70">
        <f t="shared" ref="H6:J6" si="2">G6*1.12</f>
        <v>282240.00000000006</v>
      </c>
      <c r="I6" s="70">
        <f t="shared" si="2"/>
        <v>316108.8000000001</v>
      </c>
      <c r="J6" s="72">
        <f t="shared" si="2"/>
        <v>354041.85600000015</v>
      </c>
      <c r="N6" s="15"/>
      <c r="O6" s="145"/>
    </row>
    <row r="7" spans="1:15" x14ac:dyDescent="0.25">
      <c r="A7" s="65" t="s">
        <v>122</v>
      </c>
      <c r="B7" s="36">
        <f>'Master Budget'!D6/5</f>
        <v>60000</v>
      </c>
      <c r="C7" s="36">
        <f t="shared" si="1"/>
        <v>69000</v>
      </c>
      <c r="D7" s="36">
        <f t="shared" si="1"/>
        <v>79350</v>
      </c>
      <c r="E7" s="36">
        <f>'Master Budget'!D6-SUM('Income Statement'!B7:D7)</f>
        <v>91650</v>
      </c>
      <c r="F7" s="36">
        <f>SUM(B7:E7)</f>
        <v>300000</v>
      </c>
      <c r="G7" s="70">
        <f>F7*1.5</f>
        <v>450000</v>
      </c>
      <c r="H7" s="70">
        <f t="shared" ref="H7:J7" si="3">G7*1.5</f>
        <v>675000</v>
      </c>
      <c r="I7" s="70">
        <f t="shared" si="3"/>
        <v>1012500</v>
      </c>
      <c r="J7" s="72">
        <f t="shared" si="3"/>
        <v>1518750</v>
      </c>
      <c r="N7" s="15"/>
      <c r="O7" s="145"/>
    </row>
    <row r="8" spans="1:15" ht="15.75" thickBot="1" x14ac:dyDescent="0.3">
      <c r="A8" s="78" t="s">
        <v>34</v>
      </c>
      <c r="B8" s="79">
        <f>SUM(B5:B7)</f>
        <v>185000</v>
      </c>
      <c r="C8" s="79">
        <f t="shared" ref="C8:F8" si="4">SUM(C5:C7)</f>
        <v>212750</v>
      </c>
      <c r="D8" s="79">
        <f t="shared" si="4"/>
        <v>244662.49999999997</v>
      </c>
      <c r="E8" s="79">
        <f t="shared" si="4"/>
        <v>282587.5</v>
      </c>
      <c r="F8" s="79">
        <f t="shared" si="4"/>
        <v>925000</v>
      </c>
      <c r="G8" s="80">
        <f t="shared" ref="G8" si="5">SUM(G5:G7)</f>
        <v>1142000</v>
      </c>
      <c r="H8" s="80">
        <f t="shared" ref="H8" si="6">SUM(H5:H7)</f>
        <v>1441240.0000000002</v>
      </c>
      <c r="I8" s="80">
        <f t="shared" ref="I8" si="7">SUM(I5:I7)</f>
        <v>1861008.8000000003</v>
      </c>
      <c r="J8" s="99">
        <f t="shared" ref="J8" si="8">SUM(J5:J7)</f>
        <v>2458431.8560000006</v>
      </c>
      <c r="N8" s="15"/>
      <c r="O8" s="145"/>
    </row>
    <row r="9" spans="1:15" ht="15.75" thickTop="1" x14ac:dyDescent="0.25">
      <c r="A9" s="63" t="s">
        <v>82</v>
      </c>
      <c r="B9" s="67">
        <f>SUM(B10:B12)</f>
        <v>51340.476190476191</v>
      </c>
      <c r="C9" s="67">
        <f t="shared" ref="C9:F9" si="9">SUM(C10:C12)</f>
        <v>59041.547619047611</v>
      </c>
      <c r="D9" s="67">
        <f t="shared" si="9"/>
        <v>67897.779761904749</v>
      </c>
      <c r="E9" s="67">
        <f t="shared" si="9"/>
        <v>78422.577380952396</v>
      </c>
      <c r="F9" s="67">
        <f t="shared" si="9"/>
        <v>256702.38095238095</v>
      </c>
      <c r="G9" s="71">
        <f t="shared" ref="G9" si="10">SUM(G10:G12)</f>
        <v>309487.61904761905</v>
      </c>
      <c r="H9" s="71">
        <f t="shared" ref="H9" si="11">SUM(H10:H12)</f>
        <v>380359.46666666667</v>
      </c>
      <c r="I9" s="71">
        <f t="shared" ref="I9" si="12">SUM(I10:I12)</f>
        <v>477440.697904762</v>
      </c>
      <c r="J9" s="73">
        <f t="shared" ref="J9" si="13">SUM(J10:J12)</f>
        <v>612812.62927238108</v>
      </c>
      <c r="O9" s="15"/>
    </row>
    <row r="10" spans="1:15" x14ac:dyDescent="0.25">
      <c r="A10" s="65" t="s">
        <v>120</v>
      </c>
      <c r="B10" s="36">
        <f>'Master Budget'!B111/5</f>
        <v>19047.619047619046</v>
      </c>
      <c r="C10" s="36">
        <f>B10*1.15</f>
        <v>21904.761904761901</v>
      </c>
      <c r="D10" s="36">
        <f>C10*1.15</f>
        <v>25190.476190476184</v>
      </c>
      <c r="E10" s="36">
        <f>'Master Budget'!B111-SUM('Income Statement'!B10:D10)</f>
        <v>29095.238095238092</v>
      </c>
      <c r="F10" s="36">
        <f>SUM(B10:E10)</f>
        <v>95238.095238095222</v>
      </c>
      <c r="G10" s="70">
        <f>F10*1.1</f>
        <v>104761.90476190475</v>
      </c>
      <c r="H10" s="70">
        <f t="shared" ref="H10:J10" si="14">G10*1.1</f>
        <v>115238.09523809524</v>
      </c>
      <c r="I10" s="70">
        <f t="shared" si="14"/>
        <v>126761.90476190478</v>
      </c>
      <c r="J10" s="72">
        <f t="shared" si="14"/>
        <v>139438.09523809527</v>
      </c>
    </row>
    <row r="11" spans="1:15" x14ac:dyDescent="0.25">
      <c r="A11" s="65" t="s">
        <v>121</v>
      </c>
      <c r="B11" s="36">
        <f>'Master Budget'!C111/5</f>
        <v>19721.428571428572</v>
      </c>
      <c r="C11" s="36">
        <f t="shared" ref="C11:D12" si="15">B11*1.15</f>
        <v>22679.642857142855</v>
      </c>
      <c r="D11" s="36">
        <f t="shared" si="15"/>
        <v>26081.589285714283</v>
      </c>
      <c r="E11" s="36">
        <f>'Master Budget'!C111-SUM('Income Statement'!B11:D11)</f>
        <v>30124.482142857145</v>
      </c>
      <c r="F11" s="36">
        <f>SUM(B11:E11)</f>
        <v>98607.142857142855</v>
      </c>
      <c r="G11" s="70">
        <f>F11*1.12</f>
        <v>110440.00000000001</v>
      </c>
      <c r="H11" s="70">
        <f t="shared" ref="H11:J11" si="16">G11*1.12</f>
        <v>123692.80000000003</v>
      </c>
      <c r="I11" s="70">
        <f t="shared" si="16"/>
        <v>138535.93600000005</v>
      </c>
      <c r="J11" s="72">
        <f t="shared" si="16"/>
        <v>155160.24832000007</v>
      </c>
      <c r="O11" s="15"/>
    </row>
    <row r="12" spans="1:15" x14ac:dyDescent="0.25">
      <c r="A12" s="65" t="s">
        <v>122</v>
      </c>
      <c r="B12" s="36">
        <f>'Master Budget'!D111/5</f>
        <v>12571.428571428572</v>
      </c>
      <c r="C12" s="36">
        <f t="shared" si="15"/>
        <v>14457.142857142857</v>
      </c>
      <c r="D12" s="36">
        <f t="shared" si="15"/>
        <v>16625.714285714283</v>
      </c>
      <c r="E12" s="36">
        <f>'Master Budget'!D111-SUM('Income Statement'!B12:D12)</f>
        <v>19202.857142857152</v>
      </c>
      <c r="F12" s="36">
        <f>SUM(B12:E12)</f>
        <v>62857.142857142862</v>
      </c>
      <c r="G12" s="70">
        <f>F12*1.5</f>
        <v>94285.71428571429</v>
      </c>
      <c r="H12" s="70">
        <f t="shared" ref="H12:J12" si="17">G12*1.5</f>
        <v>141428.57142857142</v>
      </c>
      <c r="I12" s="70">
        <f t="shared" si="17"/>
        <v>212142.85714285713</v>
      </c>
      <c r="J12" s="72">
        <f t="shared" si="17"/>
        <v>318214.28571428568</v>
      </c>
      <c r="O12" s="146"/>
    </row>
    <row r="13" spans="1:15" ht="15.75" thickBot="1" x14ac:dyDescent="0.3">
      <c r="A13" s="81" t="s">
        <v>83</v>
      </c>
      <c r="B13" s="82">
        <f>B8-B9</f>
        <v>133659.52380952382</v>
      </c>
      <c r="C13" s="82">
        <f t="shared" ref="C13:J13" si="18">C8-C9</f>
        <v>153708.4523809524</v>
      </c>
      <c r="D13" s="82">
        <f t="shared" si="18"/>
        <v>176764.72023809521</v>
      </c>
      <c r="E13" s="82">
        <f t="shared" si="18"/>
        <v>204164.9226190476</v>
      </c>
      <c r="F13" s="82">
        <f t="shared" si="18"/>
        <v>668297.61904761905</v>
      </c>
      <c r="G13" s="83">
        <f t="shared" si="18"/>
        <v>832512.38095238095</v>
      </c>
      <c r="H13" s="83">
        <f t="shared" si="18"/>
        <v>1060880.5333333337</v>
      </c>
      <c r="I13" s="83">
        <f t="shared" si="18"/>
        <v>1383568.1020952384</v>
      </c>
      <c r="J13" s="84">
        <f t="shared" si="18"/>
        <v>1845619.2267276195</v>
      </c>
    </row>
    <row r="14" spans="1:15" x14ac:dyDescent="0.25">
      <c r="A14" s="63" t="s">
        <v>84</v>
      </c>
      <c r="B14" s="68">
        <f>B13/B8</f>
        <v>0.72248391248391253</v>
      </c>
      <c r="C14" s="68">
        <f t="shared" ref="C14:J14" si="19">C13/C8</f>
        <v>0.72248391248391253</v>
      </c>
      <c r="D14" s="68">
        <f t="shared" si="19"/>
        <v>0.72248391248391242</v>
      </c>
      <c r="E14" s="68">
        <f t="shared" si="19"/>
        <v>0.72248391248391242</v>
      </c>
      <c r="F14" s="68">
        <f t="shared" si="19"/>
        <v>0.72248391248391253</v>
      </c>
      <c r="G14" s="74">
        <f t="shared" si="19"/>
        <v>0.72899507964306565</v>
      </c>
      <c r="H14" s="74">
        <f t="shared" si="19"/>
        <v>0.73608873840119171</v>
      </c>
      <c r="I14" s="74">
        <f t="shared" si="19"/>
        <v>0.74345059630843136</v>
      </c>
      <c r="J14" s="75">
        <f t="shared" si="19"/>
        <v>0.75073027638461376</v>
      </c>
    </row>
    <row r="15" spans="1:15" x14ac:dyDescent="0.25">
      <c r="A15" s="63" t="s">
        <v>85</v>
      </c>
      <c r="G15" s="76"/>
      <c r="H15" s="76"/>
      <c r="I15" s="76"/>
      <c r="J15" s="77"/>
    </row>
    <row r="16" spans="1:15" x14ac:dyDescent="0.25">
      <c r="A16" s="65" t="s">
        <v>18</v>
      </c>
      <c r="B16" s="36">
        <f>'Master Budget'!D61/4</f>
        <v>3750</v>
      </c>
      <c r="C16" s="36">
        <f>B16*1.01</f>
        <v>3787.5</v>
      </c>
      <c r="D16" s="36">
        <f>C16*1.06</f>
        <v>4014.75</v>
      </c>
      <c r="E16" s="36">
        <f>'Master Budget'!D61-SUM('Income Statement'!B16:D16)</f>
        <v>3447.75</v>
      </c>
      <c r="F16" s="177">
        <f t="shared" ref="F16:F23" si="20">SUM(B16:E16)</f>
        <v>15000</v>
      </c>
      <c r="G16" s="70">
        <f>F16*1.1</f>
        <v>16500</v>
      </c>
      <c r="H16" s="70">
        <f t="shared" ref="H16:J16" si="21">G16*1.1</f>
        <v>18150</v>
      </c>
      <c r="I16" s="70">
        <f t="shared" si="21"/>
        <v>19965</v>
      </c>
      <c r="J16" s="72">
        <f t="shared" si="21"/>
        <v>21961.5</v>
      </c>
    </row>
    <row r="17" spans="1:10" x14ac:dyDescent="0.25">
      <c r="A17" s="65" t="s">
        <v>20</v>
      </c>
      <c r="B17" s="36">
        <f>'Master Budget'!D62/4</f>
        <v>1250</v>
      </c>
      <c r="C17" s="36">
        <f t="shared" ref="C17:C19" si="22">B17*1.01</f>
        <v>1262.5</v>
      </c>
      <c r="D17" s="36">
        <f t="shared" ref="D17:D19" si="23">C17*1.06</f>
        <v>1338.25</v>
      </c>
      <c r="E17" s="36">
        <f>'Master Budget'!D62-SUM('Income Statement'!B17:D17)</f>
        <v>1149.25</v>
      </c>
      <c r="F17" s="177">
        <f t="shared" si="20"/>
        <v>5000</v>
      </c>
      <c r="G17" s="70">
        <f>F17*1.05</f>
        <v>5250</v>
      </c>
      <c r="H17" s="70">
        <f t="shared" ref="H17:J17" si="24">G17*1.05</f>
        <v>5512.5</v>
      </c>
      <c r="I17" s="70">
        <f t="shared" si="24"/>
        <v>5788.125</v>
      </c>
      <c r="J17" s="72">
        <f t="shared" si="24"/>
        <v>6077.53125</v>
      </c>
    </row>
    <row r="18" spans="1:10" x14ac:dyDescent="0.25">
      <c r="A18" s="65" t="s">
        <v>22</v>
      </c>
      <c r="B18" s="36">
        <f>'Master Budget'!D63/4</f>
        <v>500</v>
      </c>
      <c r="C18" s="36">
        <f t="shared" si="22"/>
        <v>505</v>
      </c>
      <c r="D18" s="36">
        <f t="shared" si="23"/>
        <v>535.30000000000007</v>
      </c>
      <c r="E18" s="36">
        <f>'Master Budget'!D63-SUM('Income Statement'!B18:D18)</f>
        <v>459.69999999999982</v>
      </c>
      <c r="F18" s="177">
        <f t="shared" si="20"/>
        <v>2000</v>
      </c>
      <c r="G18" s="70">
        <f t="shared" ref="G18:J18" si="25">F18*1.05</f>
        <v>2100</v>
      </c>
      <c r="H18" s="70">
        <f t="shared" si="25"/>
        <v>2205</v>
      </c>
      <c r="I18" s="70">
        <f t="shared" si="25"/>
        <v>2315.25</v>
      </c>
      <c r="J18" s="72">
        <f t="shared" si="25"/>
        <v>2431.0125000000003</v>
      </c>
    </row>
    <row r="19" spans="1:10" x14ac:dyDescent="0.25">
      <c r="A19" s="65" t="s">
        <v>54</v>
      </c>
      <c r="B19" s="36">
        <f>'Master Budget'!D64/4</f>
        <v>500</v>
      </c>
      <c r="C19" s="36">
        <f t="shared" si="22"/>
        <v>505</v>
      </c>
      <c r="D19" s="36">
        <f t="shared" si="23"/>
        <v>535.30000000000007</v>
      </c>
      <c r="E19" s="36">
        <f>'Master Budget'!D64-SUM('Income Statement'!B19:D19)</f>
        <v>459.69999999999982</v>
      </c>
      <c r="F19" s="177">
        <f t="shared" si="20"/>
        <v>2000</v>
      </c>
      <c r="G19" s="70">
        <f t="shared" ref="G19:J19" si="26">F19*1.05</f>
        <v>2100</v>
      </c>
      <c r="H19" s="70">
        <f t="shared" si="26"/>
        <v>2205</v>
      </c>
      <c r="I19" s="70">
        <f t="shared" si="26"/>
        <v>2315.25</v>
      </c>
      <c r="J19" s="72">
        <f t="shared" si="26"/>
        <v>2431.0125000000003</v>
      </c>
    </row>
    <row r="20" spans="1:10" x14ac:dyDescent="0.25">
      <c r="A20" s="65" t="s">
        <v>19</v>
      </c>
      <c r="B20">
        <f>'Master Budget'!B62/4</f>
        <v>5000</v>
      </c>
      <c r="C20" s="36">
        <f t="shared" ref="C20:C23" si="27">B20</f>
        <v>5000</v>
      </c>
      <c r="D20" s="36">
        <f t="shared" ref="D20:E23" si="28">C20</f>
        <v>5000</v>
      </c>
      <c r="E20" s="36">
        <f t="shared" si="28"/>
        <v>5000</v>
      </c>
      <c r="F20" s="177">
        <f t="shared" si="20"/>
        <v>20000</v>
      </c>
      <c r="G20" s="70">
        <f t="shared" ref="G20:J20" si="29">F20*1.05</f>
        <v>21000</v>
      </c>
      <c r="H20" s="70">
        <f t="shared" si="29"/>
        <v>22050</v>
      </c>
      <c r="I20" s="70">
        <f t="shared" si="29"/>
        <v>23152.5</v>
      </c>
      <c r="J20" s="72">
        <f t="shared" si="29"/>
        <v>24310.125</v>
      </c>
    </row>
    <row r="21" spans="1:10" x14ac:dyDescent="0.25">
      <c r="A21" s="65" t="s">
        <v>21</v>
      </c>
      <c r="B21">
        <f>'Master Budget'!B63/4</f>
        <v>2500</v>
      </c>
      <c r="C21" s="36">
        <f t="shared" si="27"/>
        <v>2500</v>
      </c>
      <c r="D21" s="36">
        <f t="shared" si="28"/>
        <v>2500</v>
      </c>
      <c r="E21" s="36">
        <f t="shared" si="28"/>
        <v>2500</v>
      </c>
      <c r="F21" s="177">
        <f t="shared" si="20"/>
        <v>10000</v>
      </c>
      <c r="G21" s="70">
        <f t="shared" ref="G21:J21" si="30">F21*1.05</f>
        <v>10500</v>
      </c>
      <c r="H21" s="70">
        <f t="shared" si="30"/>
        <v>11025</v>
      </c>
      <c r="I21" s="70">
        <f t="shared" si="30"/>
        <v>11576.25</v>
      </c>
      <c r="J21" s="72">
        <f t="shared" si="30"/>
        <v>12155.0625</v>
      </c>
    </row>
    <row r="22" spans="1:10" x14ac:dyDescent="0.25">
      <c r="A22" s="65" t="s">
        <v>23</v>
      </c>
      <c r="B22">
        <f>'Master Budget'!B64/4</f>
        <v>1250</v>
      </c>
      <c r="C22" s="36">
        <f t="shared" si="27"/>
        <v>1250</v>
      </c>
      <c r="D22" s="36">
        <f t="shared" si="28"/>
        <v>1250</v>
      </c>
      <c r="E22" s="36">
        <f t="shared" si="28"/>
        <v>1250</v>
      </c>
      <c r="F22" s="177">
        <f t="shared" si="20"/>
        <v>5000</v>
      </c>
      <c r="G22" s="70">
        <f t="shared" ref="G22:J22" si="31">F22*1.05</f>
        <v>5250</v>
      </c>
      <c r="H22" s="70">
        <f t="shared" si="31"/>
        <v>5512.5</v>
      </c>
      <c r="I22" s="70">
        <f t="shared" si="31"/>
        <v>5788.125</v>
      </c>
      <c r="J22" s="72">
        <f t="shared" si="31"/>
        <v>6077.53125</v>
      </c>
    </row>
    <row r="23" spans="1:10" x14ac:dyDescent="0.25">
      <c r="A23" s="65" t="s">
        <v>86</v>
      </c>
      <c r="B23">
        <f>'Master Budget'!B61/4</f>
        <v>1250</v>
      </c>
      <c r="C23" s="36">
        <f t="shared" si="27"/>
        <v>1250</v>
      </c>
      <c r="D23" s="36">
        <f t="shared" si="28"/>
        <v>1250</v>
      </c>
      <c r="E23" s="36">
        <f t="shared" si="28"/>
        <v>1250</v>
      </c>
      <c r="F23" s="177">
        <f t="shared" si="20"/>
        <v>5000</v>
      </c>
      <c r="G23" s="70">
        <f t="shared" ref="G23:J23" si="32">F23*1.05</f>
        <v>5250</v>
      </c>
      <c r="H23" s="70">
        <f t="shared" si="32"/>
        <v>5512.5</v>
      </c>
      <c r="I23" s="70">
        <f t="shared" si="32"/>
        <v>5788.125</v>
      </c>
      <c r="J23" s="72">
        <f t="shared" si="32"/>
        <v>6077.53125</v>
      </c>
    </row>
    <row r="24" spans="1:10" ht="15.75" thickBot="1" x14ac:dyDescent="0.3">
      <c r="A24" s="63" t="s">
        <v>87</v>
      </c>
      <c r="B24" s="67">
        <f>SUM(B16:B23)</f>
        <v>16000</v>
      </c>
      <c r="C24" s="67">
        <f t="shared" ref="C24:J24" si="33">SUM(C16:C23)</f>
        <v>16060</v>
      </c>
      <c r="D24" s="67">
        <f t="shared" si="33"/>
        <v>16423.599999999999</v>
      </c>
      <c r="E24" s="67">
        <f t="shared" si="33"/>
        <v>15516.4</v>
      </c>
      <c r="F24" s="67">
        <f t="shared" si="33"/>
        <v>64000</v>
      </c>
      <c r="G24" s="71">
        <f t="shared" si="33"/>
        <v>67950</v>
      </c>
      <c r="H24" s="71">
        <f t="shared" si="33"/>
        <v>72172.5</v>
      </c>
      <c r="I24" s="71">
        <f t="shared" si="33"/>
        <v>76688.625</v>
      </c>
      <c r="J24" s="73">
        <f t="shared" si="33"/>
        <v>81521.306249999994</v>
      </c>
    </row>
    <row r="25" spans="1:10" x14ac:dyDescent="0.25">
      <c r="A25" s="85" t="s">
        <v>88</v>
      </c>
      <c r="B25" s="86">
        <f>B13-B24</f>
        <v>117659.52380952382</v>
      </c>
      <c r="C25" s="86">
        <f t="shared" ref="C25:J25" si="34">C13-C24</f>
        <v>137648.4523809524</v>
      </c>
      <c r="D25" s="86">
        <f t="shared" si="34"/>
        <v>160341.1202380952</v>
      </c>
      <c r="E25" s="86">
        <f t="shared" si="34"/>
        <v>188648.52261904761</v>
      </c>
      <c r="F25" s="86">
        <f t="shared" si="34"/>
        <v>604297.61904761905</v>
      </c>
      <c r="G25" s="87">
        <f t="shared" si="34"/>
        <v>764562.38095238095</v>
      </c>
      <c r="H25" s="87">
        <f t="shared" si="34"/>
        <v>988708.03333333367</v>
      </c>
      <c r="I25" s="87">
        <f t="shared" si="34"/>
        <v>1306879.4770952384</v>
      </c>
      <c r="J25" s="88">
        <f t="shared" si="34"/>
        <v>1764097.9204776196</v>
      </c>
    </row>
    <row r="26" spans="1:10" ht="15.75" thickBot="1" x14ac:dyDescent="0.3">
      <c r="A26" s="69" t="s">
        <v>89</v>
      </c>
      <c r="B26" s="101">
        <f>B25/B8</f>
        <v>0.63599742599742604</v>
      </c>
      <c r="C26" s="101">
        <f t="shared" ref="C26:J26" si="35">C25/C8</f>
        <v>0.64699625090929447</v>
      </c>
      <c r="D26" s="101">
        <f t="shared" si="35"/>
        <v>0.6553563387854503</v>
      </c>
      <c r="E26" s="101">
        <f t="shared" si="35"/>
        <v>0.66757560974582253</v>
      </c>
      <c r="F26" s="101">
        <f t="shared" si="35"/>
        <v>0.65329472329472327</v>
      </c>
      <c r="G26" s="102">
        <f t="shared" si="35"/>
        <v>0.66949420398632309</v>
      </c>
      <c r="H26" s="102">
        <f t="shared" si="35"/>
        <v>0.68601206831154671</v>
      </c>
      <c r="I26" s="102">
        <f t="shared" si="35"/>
        <v>0.70224250261215215</v>
      </c>
      <c r="J26" s="103">
        <f t="shared" si="35"/>
        <v>0.71757039601166772</v>
      </c>
    </row>
    <row r="27" spans="1:10" x14ac:dyDescent="0.25">
      <c r="A27" s="89" t="s">
        <v>90</v>
      </c>
      <c r="B27" s="90">
        <v>0</v>
      </c>
      <c r="C27" s="90">
        <v>0</v>
      </c>
      <c r="D27" s="90">
        <v>0</v>
      </c>
      <c r="E27" s="90">
        <v>0</v>
      </c>
      <c r="F27" s="91">
        <f>SUM(B27:E27)</f>
        <v>0</v>
      </c>
      <c r="G27" s="92"/>
      <c r="H27" s="92"/>
      <c r="I27" s="92"/>
      <c r="J27" s="93"/>
    </row>
    <row r="28" spans="1:10" ht="15.75" thickBot="1" x14ac:dyDescent="0.3">
      <c r="A28" s="69" t="s">
        <v>91</v>
      </c>
      <c r="B28" s="94">
        <f>B25-B27</f>
        <v>117659.52380952382</v>
      </c>
      <c r="C28" s="94">
        <f t="shared" ref="C28:J28" si="36">C25-C27</f>
        <v>137648.4523809524</v>
      </c>
      <c r="D28" s="94">
        <f t="shared" si="36"/>
        <v>160341.1202380952</v>
      </c>
      <c r="E28" s="94">
        <f t="shared" ref="E28" si="37">E25-E27</f>
        <v>188648.52261904761</v>
      </c>
      <c r="F28" s="94">
        <f t="shared" ref="F28" si="38">F25-F27</f>
        <v>604297.61904761905</v>
      </c>
      <c r="G28" s="95">
        <f t="shared" si="36"/>
        <v>764562.38095238095</v>
      </c>
      <c r="H28" s="95">
        <f t="shared" si="36"/>
        <v>988708.03333333367</v>
      </c>
      <c r="I28" s="95">
        <f t="shared" si="36"/>
        <v>1306879.4770952384</v>
      </c>
      <c r="J28" s="96">
        <f t="shared" si="36"/>
        <v>1764097.9204776196</v>
      </c>
    </row>
    <row r="29" spans="1:10" x14ac:dyDescent="0.25">
      <c r="A29" s="89" t="s">
        <v>92</v>
      </c>
      <c r="B29" s="91">
        <f>B28*0.2</f>
        <v>23531.904761904763</v>
      </c>
      <c r="C29" s="91">
        <f t="shared" ref="C29:J29" si="39">C28*0.2</f>
        <v>27529.690476190481</v>
      </c>
      <c r="D29" s="91">
        <f t="shared" si="39"/>
        <v>32068.224047619042</v>
      </c>
      <c r="E29" s="91">
        <f t="shared" si="39"/>
        <v>37729.704523809523</v>
      </c>
      <c r="F29" s="91">
        <f>SUM(B29:E29)</f>
        <v>120859.52380952382</v>
      </c>
      <c r="G29" s="97">
        <f t="shared" si="39"/>
        <v>152912.47619047618</v>
      </c>
      <c r="H29" s="97">
        <f t="shared" si="39"/>
        <v>197741.60666666675</v>
      </c>
      <c r="I29" s="97">
        <f t="shared" si="39"/>
        <v>261375.89541904768</v>
      </c>
      <c r="J29" s="98">
        <f t="shared" si="39"/>
        <v>352819.58409552393</v>
      </c>
    </row>
    <row r="30" spans="1:10" ht="15.75" thickBot="1" x14ac:dyDescent="0.3">
      <c r="A30" s="78" t="s">
        <v>93</v>
      </c>
      <c r="B30" s="79">
        <f>B28-B29</f>
        <v>94127.619047619053</v>
      </c>
      <c r="C30" s="79">
        <f t="shared" ref="C30:J30" si="40">C28-C29</f>
        <v>110118.76190476192</v>
      </c>
      <c r="D30" s="79">
        <f t="shared" si="40"/>
        <v>128272.89619047617</v>
      </c>
      <c r="E30" s="79">
        <f t="shared" si="40"/>
        <v>150918.81809523809</v>
      </c>
      <c r="F30" s="79">
        <f t="shared" si="40"/>
        <v>483438.09523809527</v>
      </c>
      <c r="G30" s="80">
        <f t="shared" si="40"/>
        <v>611649.90476190473</v>
      </c>
      <c r="H30" s="80">
        <f t="shared" si="40"/>
        <v>790966.42666666699</v>
      </c>
      <c r="I30" s="80">
        <f t="shared" si="40"/>
        <v>1045503.5816761907</v>
      </c>
      <c r="J30" s="99">
        <f t="shared" si="40"/>
        <v>1411278.3363820957</v>
      </c>
    </row>
    <row r="31" spans="1:10" ht="16.5" thickTop="1" thickBot="1" x14ac:dyDescent="0.3">
      <c r="A31" s="100" t="s">
        <v>94</v>
      </c>
      <c r="B31" s="104">
        <f>B30/B8</f>
        <v>0.50879794079794083</v>
      </c>
      <c r="C31" s="104">
        <f t="shared" ref="C31:J31" si="41">C30/C8</f>
        <v>0.51759700072743564</v>
      </c>
      <c r="D31" s="104">
        <f t="shared" si="41"/>
        <v>0.52428507102836019</v>
      </c>
      <c r="E31" s="104">
        <f t="shared" si="41"/>
        <v>0.53406048779665805</v>
      </c>
      <c r="F31" s="104">
        <f t="shared" si="41"/>
        <v>0.5226357786357787</v>
      </c>
      <c r="G31" s="105">
        <f t="shared" si="41"/>
        <v>0.53559536318905843</v>
      </c>
      <c r="H31" s="105">
        <f t="shared" si="41"/>
        <v>0.54880965464923737</v>
      </c>
      <c r="I31" s="105">
        <f t="shared" si="41"/>
        <v>0.56179400208972174</v>
      </c>
      <c r="J31" s="106">
        <f t="shared" si="41"/>
        <v>0.57405631680933411</v>
      </c>
    </row>
    <row r="32" spans="1:10" x14ac:dyDescent="0.25">
      <c r="A32" s="65"/>
      <c r="G32" s="76"/>
      <c r="H32" s="76"/>
      <c r="I32" s="76"/>
      <c r="J32" s="77"/>
    </row>
    <row r="33" spans="1:10" x14ac:dyDescent="0.25">
      <c r="A33" s="63" t="s">
        <v>95</v>
      </c>
      <c r="B33" s="67">
        <f>B25+B23</f>
        <v>118909.52380952382</v>
      </c>
      <c r="C33" s="67">
        <f t="shared" ref="C33:J33" si="42">C25+C23</f>
        <v>138898.4523809524</v>
      </c>
      <c r="D33" s="67">
        <f t="shared" si="42"/>
        <v>161591.1202380952</v>
      </c>
      <c r="E33" s="67">
        <f t="shared" si="42"/>
        <v>189898.52261904761</v>
      </c>
      <c r="F33" s="67">
        <f t="shared" si="42"/>
        <v>609297.61904761905</v>
      </c>
      <c r="G33" s="71">
        <f t="shared" si="42"/>
        <v>769812.38095238095</v>
      </c>
      <c r="H33" s="71">
        <f t="shared" si="42"/>
        <v>994220.53333333367</v>
      </c>
      <c r="I33" s="71">
        <f t="shared" si="42"/>
        <v>1312667.6020952384</v>
      </c>
      <c r="J33" s="73">
        <f t="shared" si="42"/>
        <v>1770175.4517276196</v>
      </c>
    </row>
    <row r="34" spans="1:10" ht="15.75" thickBot="1" x14ac:dyDescent="0.3">
      <c r="A34" s="69" t="s">
        <v>96</v>
      </c>
      <c r="B34" s="101">
        <f>B33/B8</f>
        <v>0.64275418275418283</v>
      </c>
      <c r="C34" s="101">
        <f t="shared" ref="C34:J34" si="43">C33/C8</f>
        <v>0.65287169156734381</v>
      </c>
      <c r="D34" s="101">
        <f t="shared" si="43"/>
        <v>0.66046541761853661</v>
      </c>
      <c r="E34" s="101">
        <f t="shared" si="43"/>
        <v>0.67199901842455034</v>
      </c>
      <c r="F34" s="101">
        <f t="shared" si="43"/>
        <v>0.65870012870012873</v>
      </c>
      <c r="G34" s="102">
        <f t="shared" si="43"/>
        <v>0.67409140188474692</v>
      </c>
      <c r="H34" s="102">
        <f t="shared" si="43"/>
        <v>0.68983689970673412</v>
      </c>
      <c r="I34" s="102">
        <f t="shared" si="43"/>
        <v>0.70535271090348317</v>
      </c>
      <c r="J34" s="103">
        <f t="shared" si="43"/>
        <v>0.72004251303828659</v>
      </c>
    </row>
  </sheetData>
  <sheetProtection algorithmName="SHA-512" hashValue="UkdYTNnRF8yDl2ZtsxyYVRW5fPwd9ApwI/YYi8XJiyT43sOpvAEdwYdOlz1v2Vosu/zLX8VQ2e0dd1aT9bTqRQ==" saltValue="Vdluboom60JLwT/zqU0hLg==" spinCount="100000" sheet="1" objects="1" scenarios="1"/>
  <mergeCells count="3">
    <mergeCell ref="B2:E2"/>
    <mergeCell ref="A1:J1"/>
    <mergeCell ref="F2:J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74AB-D52C-4271-8C39-82CAACB5A39B}">
  <sheetPr>
    <tabColor rgb="FFFFC000"/>
  </sheetPr>
  <dimension ref="B1:B5"/>
  <sheetViews>
    <sheetView workbookViewId="0"/>
  </sheetViews>
  <sheetFormatPr defaultRowHeight="15" x14ac:dyDescent="0.25"/>
  <cols>
    <col min="2" max="2" width="15.85546875" bestFit="1" customWidth="1"/>
  </cols>
  <sheetData>
    <row r="1" spans="2:2" x14ac:dyDescent="0.25">
      <c r="B1" s="147" t="s">
        <v>146</v>
      </c>
    </row>
    <row r="2" spans="2:2" x14ac:dyDescent="0.25">
      <c r="B2" s="148">
        <v>46112</v>
      </c>
    </row>
    <row r="3" spans="2:2" x14ac:dyDescent="0.25">
      <c r="B3" s="148">
        <v>46203</v>
      </c>
    </row>
    <row r="4" spans="2:2" x14ac:dyDescent="0.25">
      <c r="B4" s="148">
        <v>46295</v>
      </c>
    </row>
    <row r="5" spans="2:2" x14ac:dyDescent="0.25">
      <c r="B5" s="148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Variance Analysis</vt:lpstr>
      <vt:lpstr>Actual vs Budget</vt:lpstr>
      <vt:lpstr>Actuals</vt:lpstr>
      <vt:lpstr>Forecasted Budget</vt:lpstr>
      <vt:lpstr>Master Budget</vt:lpstr>
      <vt:lpstr>Income Statement</vt:lpstr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Mukherjee</dc:creator>
  <cp:lastModifiedBy>Joy Mukherjee</cp:lastModifiedBy>
  <dcterms:created xsi:type="dcterms:W3CDTF">2026-03-01T15:21:06Z</dcterms:created>
  <dcterms:modified xsi:type="dcterms:W3CDTF">2026-09-29T21:37:39Z</dcterms:modified>
</cp:coreProperties>
</file>